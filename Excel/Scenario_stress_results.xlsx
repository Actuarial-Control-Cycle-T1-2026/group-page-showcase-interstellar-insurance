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mls/Desktop/UNSW/ACTL 4001/SOA_2026_Case_Study_Materials/"/>
    </mc:Choice>
  </mc:AlternateContent>
  <xr:revisionPtr revIDLastSave="0" documentId="13_ncr:1_{343395F2-1A3D-C64D-8022-963B8FBA7A76}" xr6:coauthVersionLast="47" xr6:coauthVersionMax="47" xr10:uidLastSave="{00000000-0000-0000-0000-000000000000}"/>
  <bookViews>
    <workbookView xWindow="520" yWindow="500" windowWidth="28040" windowHeight="16500" activeTab="2" xr2:uid="{328382C5-649F-5A4A-804C-972E1164D944}"/>
  </bookViews>
  <sheets>
    <sheet name="Scenario Analysis- Report Table" sheetId="1" r:id="rId1"/>
    <sheet name="Stress Tests - Report Tables" sheetId="2" r:id="rId2"/>
    <sheet name="Scenario Analysis- Report T (2)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4" l="1"/>
  <c r="O7" i="4"/>
  <c r="O8" i="4"/>
  <c r="O9" i="4"/>
  <c r="O10" i="4"/>
  <c r="O5" i="4"/>
  <c r="M13" i="4"/>
  <c r="C46" i="4"/>
  <c r="D46" i="4" s="1"/>
  <c r="C45" i="4"/>
  <c r="D45" i="4" s="1"/>
  <c r="C44" i="4"/>
  <c r="D44" i="4" s="1"/>
  <c r="C43" i="4"/>
  <c r="M7" i="4" s="1"/>
  <c r="C41" i="4"/>
  <c r="D41" i="4" s="1"/>
  <c r="D33" i="4"/>
  <c r="E33" i="4"/>
  <c r="D34" i="4"/>
  <c r="E34" i="4"/>
  <c r="C32" i="4"/>
  <c r="D32" i="4" s="1"/>
  <c r="C30" i="4"/>
  <c r="C22" i="4"/>
  <c r="D22" i="4" s="1"/>
  <c r="C21" i="4"/>
  <c r="D21" i="4" s="1"/>
  <c r="D10" i="4"/>
  <c r="C20" i="4"/>
  <c r="D20" i="4" s="1"/>
  <c r="C19" i="4"/>
  <c r="D19" i="4" s="1"/>
  <c r="C18" i="4"/>
  <c r="C17" i="4"/>
  <c r="D17" i="4" s="1"/>
  <c r="D9" i="4"/>
  <c r="N7" i="4" l="1"/>
  <c r="M9" i="4"/>
  <c r="M5" i="4"/>
  <c r="M10" i="4"/>
  <c r="E32" i="4"/>
  <c r="D18" i="4"/>
  <c r="N10" i="4" l="1"/>
  <c r="N5" i="4"/>
  <c r="N9" i="4"/>
  <c r="C48" i="4" l="1"/>
  <c r="D43" i="4"/>
  <c r="E31" i="4"/>
  <c r="D31" i="4"/>
  <c r="E30" i="4"/>
  <c r="D30" i="4"/>
  <c r="E29" i="4"/>
  <c r="D29" i="4"/>
  <c r="C24" i="4"/>
  <c r="C12" i="4"/>
  <c r="D7" i="4"/>
  <c r="D6" i="4"/>
  <c r="D5" i="4"/>
  <c r="C15" i="1"/>
  <c r="D15" i="1" s="1"/>
  <c r="P9" i="1" s="1"/>
  <c r="C16" i="1"/>
  <c r="O10" i="1" s="1"/>
  <c r="E24" i="1"/>
  <c r="Q12" i="1" s="1"/>
  <c r="E25" i="1"/>
  <c r="Q13" i="1" s="1"/>
  <c r="E23" i="1"/>
  <c r="Q11" i="1" s="1"/>
  <c r="D24" i="1"/>
  <c r="P12" i="1" s="1"/>
  <c r="D25" i="1"/>
  <c r="P13" i="1" s="1"/>
  <c r="D23" i="1"/>
  <c r="P11" i="1" s="1"/>
  <c r="N14" i="1"/>
  <c r="O14" i="1"/>
  <c r="N15" i="1"/>
  <c r="O15" i="1"/>
  <c r="N16" i="1"/>
  <c r="O16" i="1"/>
  <c r="N11" i="1"/>
  <c r="O11" i="1"/>
  <c r="N12" i="1"/>
  <c r="O12" i="1"/>
  <c r="N13" i="1"/>
  <c r="O13" i="1"/>
  <c r="N8" i="1"/>
  <c r="N9" i="1"/>
  <c r="N10" i="1"/>
  <c r="N4" i="1"/>
  <c r="O4" i="1"/>
  <c r="P4" i="1"/>
  <c r="Q4" i="1"/>
  <c r="N5" i="1"/>
  <c r="O5" i="1"/>
  <c r="N6" i="1"/>
  <c r="O6" i="1"/>
  <c r="N7" i="1"/>
  <c r="O7" i="1"/>
  <c r="D33" i="1"/>
  <c r="P15" i="1" s="1"/>
  <c r="D34" i="1"/>
  <c r="P16" i="1" s="1"/>
  <c r="D32" i="1"/>
  <c r="P14" i="1" s="1"/>
  <c r="D6" i="1"/>
  <c r="P6" i="1" s="1"/>
  <c r="D7" i="1"/>
  <c r="P7" i="1" s="1"/>
  <c r="D5" i="1"/>
  <c r="P5" i="1" s="1"/>
  <c r="C14" i="1"/>
  <c r="O8" i="1" s="1"/>
  <c r="C36" i="1"/>
  <c r="D36" i="1" s="1"/>
  <c r="C18" i="1"/>
  <c r="D18" i="1" s="1"/>
  <c r="C9" i="1"/>
  <c r="D9" i="1" s="1"/>
  <c r="D48" i="4" l="1"/>
  <c r="C42" i="4"/>
  <c r="M6" i="4" s="1"/>
  <c r="E46" i="4"/>
  <c r="E44" i="4"/>
  <c r="E45" i="4"/>
  <c r="D24" i="4"/>
  <c r="E21" i="4"/>
  <c r="E20" i="4"/>
  <c r="E18" i="4"/>
  <c r="E22" i="4"/>
  <c r="E19" i="4"/>
  <c r="E17" i="4"/>
  <c r="E5" i="4"/>
  <c r="E6" i="4"/>
  <c r="C8" i="4"/>
  <c r="M8" i="4" s="1"/>
  <c r="E7" i="4"/>
  <c r="E10" i="4"/>
  <c r="E9" i="4"/>
  <c r="E41" i="4"/>
  <c r="D12" i="4"/>
  <c r="E43" i="4"/>
  <c r="D16" i="1"/>
  <c r="P10" i="1" s="1"/>
  <c r="O9" i="1"/>
  <c r="E6" i="1"/>
  <c r="Q6" i="1" s="1"/>
  <c r="E32" i="1"/>
  <c r="Q14" i="1" s="1"/>
  <c r="E5" i="1"/>
  <c r="Q5" i="1" s="1"/>
  <c r="E7" i="1"/>
  <c r="Q7" i="1" s="1"/>
  <c r="E34" i="1"/>
  <c r="Q16" i="1" s="1"/>
  <c r="E33" i="1"/>
  <c r="Q15" i="1" s="1"/>
  <c r="E14" i="1"/>
  <c r="Q8" i="1" s="1"/>
  <c r="D14" i="1"/>
  <c r="P8" i="1" s="1"/>
  <c r="E16" i="1"/>
  <c r="Q10" i="1" s="1"/>
  <c r="E15" i="1"/>
  <c r="Q9" i="1" s="1"/>
  <c r="N6" i="4" l="1"/>
  <c r="N8" i="4"/>
  <c r="E42" i="4"/>
  <c r="D42" i="4"/>
  <c r="D8" i="4"/>
  <c r="E8" i="4"/>
</calcChain>
</file>

<file path=xl/sharedStrings.xml><?xml version="1.0" encoding="utf-8"?>
<sst xmlns="http://schemas.openxmlformats.org/spreadsheetml/2006/main" count="170" uniqueCount="66">
  <si>
    <t>Scenario</t>
  </si>
  <si>
    <t xml:space="preserve">Best </t>
  </si>
  <si>
    <t xml:space="preserve">Moderate </t>
  </si>
  <si>
    <t>Worse</t>
  </si>
  <si>
    <t>Deviation from Baseline</t>
  </si>
  <si>
    <t>Loss Ratio</t>
  </si>
  <si>
    <t>Loss amount</t>
  </si>
  <si>
    <t>cargo loss</t>
  </si>
  <si>
    <t>Baseline</t>
  </si>
  <si>
    <t>Equiptment Failure</t>
  </si>
  <si>
    <t>Workers Compensation</t>
  </si>
  <si>
    <t>Business Interruption</t>
  </si>
  <si>
    <t>Premium</t>
  </si>
  <si>
    <t>Cost</t>
  </si>
  <si>
    <t>Hazard Area</t>
  </si>
  <si>
    <t>Cargo Loss</t>
  </si>
  <si>
    <t>Equipment Failure</t>
  </si>
  <si>
    <t>Helionis</t>
  </si>
  <si>
    <t>Stress</t>
  </si>
  <si>
    <t xml:space="preserve">Solar Activity </t>
  </si>
  <si>
    <t>Solar winds and flare activity disrupt navigation in atmosphere</t>
  </si>
  <si>
    <t>Communication outages lead to temporoary shut down</t>
  </si>
  <si>
    <t>Demand Surge</t>
  </si>
  <si>
    <t xml:space="preserve">Environmental risk injuries workers severely. </t>
  </si>
  <si>
    <t>Prolonged maintenance system failure leads to reduced servicing capacity; increase freq (x1.4) and severity (x1.3)</t>
  </si>
  <si>
    <t>Prolonged maintenance system failure leads to reduced servicing capacity ; increase freq (x1.4) and severity (x1.3)</t>
  </si>
  <si>
    <t>High mining demand drives accelerated wear and reduced servicing capacity ; increase freq (x1.5) and severity (x1.2)</t>
  </si>
  <si>
    <t>Erratic drift patterns and micro-collisions increasing route risk and debris density  ; increase freq (x1) and severity (x3)</t>
  </si>
  <si>
    <t>Increased transport volumes raise exposure to loss events ; increase freq (x3) and severity (x1)</t>
  </si>
  <si>
    <t>Natural catastrophe event (Asteroid Cluster fragmentation, Solar Flare)</t>
  </si>
  <si>
    <t>Structural and equiptment impact of debris injure workers; increase freq (x1.25) and severity (x1.2)</t>
  </si>
  <si>
    <t>Debris clouds and outages disrupt communications and logistics, causing outages and longer term shut downs; frequency (x1.3) and severity (x1.7)</t>
  </si>
  <si>
    <t>Slight increase in strain in risk given strain on infrasucture; No material Impact</t>
  </si>
  <si>
    <t>Higher demand may lead to less adherance to safety requirements (slight risk increase); No material Impact</t>
  </si>
  <si>
    <t>Bayesia</t>
  </si>
  <si>
    <t>Radiation Spike</t>
  </si>
  <si>
    <t> Extreme radiation storm forces mining operations to shut down for extended period of time; increase frequency (x1.8) and severity (x1.5)</t>
  </si>
  <si>
    <t>Extreme solar radiation event disrupt routes and cause large losses; increase frequency (x1.25) and severity (x1.75)</t>
  </si>
  <si>
    <t>Widespread electronic component degradation; Increase in frequency (x1.7) and severity (x1.6)</t>
  </si>
  <si>
    <t>Unexpected particle radiation causes accute radiation injury to workers; increase frequency (x1.3) and severity (x1.35)</t>
  </si>
  <si>
    <t>Temporary shutdown and restart cycles causing equipment stress failures; Increase in frequency (x1.5) and severity (x1.4)</t>
  </si>
  <si>
    <t>Cease of operations would not impact Cargo as shipments cease; no impact</t>
  </si>
  <si>
    <t>Workers are not on-site durig shutdowns; no impact</t>
  </si>
  <si>
    <t>Frequent ceases in activities increase cost and severity; Increase in frequency (x1.6) and severity (x1.2)</t>
  </si>
  <si>
    <t>Oryn Delta</t>
  </si>
  <si>
    <t>Objects shifts in the orbital ring causes collisions in mining vessels and forcing cease in operations; Increase in frequency (x2.5) and severity (x1.7)</t>
  </si>
  <si>
    <t>Increased risk associated with growth and scaling; Increase in frequency (x1.5) and severity (x1.3)</t>
  </si>
  <si>
    <t>Orbital instability leading to collisions and operational disruption; Increase in frequency (x2.2) and severity (x1.7)</t>
  </si>
  <si>
    <t>Uncertain frontier expansion in the assymetric orbital ring</t>
  </si>
  <si>
    <t>Extreme operating conditions worsen</t>
  </si>
  <si>
    <t>Deep extraction navigation failure leading to accidents whilst operating in rare-metal regions; Increase in frequency (x2) and severity (x1.4)</t>
  </si>
  <si>
    <t>Extreme extraction conditions in deep mining zones increasing mechanical strain; Increase in frequency (x1.8) and severity (x1.5)</t>
  </si>
  <si>
    <t>Cargo transportation is moderately impacted by risk of land travel in unstable habitatats; Increase in frequency (x1.5) and severity (x1.5)</t>
  </si>
  <si>
    <t>Workers face navigational instability and uncertainty; Increase in frequency (x1.45) and severity (x1.3)</t>
  </si>
  <si>
    <t>Workers must operate in low-visibility conditions and unknown habitats; Increase in frequency (x1.45) and severity (x1.3)</t>
  </si>
  <si>
    <t>Shutdowns due to high gravity interfereance/surface conditions</t>
  </si>
  <si>
    <t>H1</t>
  </si>
  <si>
    <t>H2</t>
  </si>
  <si>
    <t>B1</t>
  </si>
  <si>
    <t>B2</t>
  </si>
  <si>
    <t>B</t>
  </si>
  <si>
    <t>O</t>
  </si>
  <si>
    <t>H</t>
  </si>
  <si>
    <t>O1</t>
  </si>
  <si>
    <t>O2</t>
  </si>
  <si>
    <t>Cost (split)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</si>
</sst>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b/>
      <sz val="11"/>
      <color theme="0"/>
      <name val="Calibri Bold"/>
    </font>
    <font>
      <b/>
      <sz val="11"/>
      <color rgb="FF014D7C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sz val="12"/>
      <color theme="0" tint="-0.249977111117893"/>
      <name val="Times New Roman"/>
      <family val="1"/>
    </font>
    <font>
      <sz val="11"/>
      <color theme="0" tint="-0.249977111117893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1"/>
      <color theme="2" tint="-9.9978637043366805E-2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14D7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3" fontId="0" fillId="0" borderId="0" xfId="0" applyNumberFormat="1"/>
    <xf numFmtId="3" fontId="3" fillId="0" borderId="0" xfId="0" applyNumberFormat="1" applyFont="1"/>
    <xf numFmtId="9" fontId="0" fillId="0" borderId="0" xfId="1" applyFont="1"/>
    <xf numFmtId="9" fontId="3" fillId="0" borderId="0" xfId="1" applyFont="1"/>
    <xf numFmtId="3" fontId="4" fillId="0" borderId="0" xfId="0" applyNumberFormat="1" applyFont="1"/>
    <xf numFmtId="3" fontId="5" fillId="0" borderId="0" xfId="0" applyNumberFormat="1" applyFont="1"/>
    <xf numFmtId="0" fontId="6" fillId="2" borderId="0" xfId="0" applyFont="1" applyFill="1" applyAlignment="1">
      <alignment horizontal="right" wrapText="1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/>
    <xf numFmtId="3" fontId="9" fillId="0" borderId="0" xfId="0" applyNumberFormat="1" applyFont="1"/>
    <xf numFmtId="9" fontId="8" fillId="0" borderId="0" xfId="1" applyFont="1"/>
    <xf numFmtId="3" fontId="10" fillId="0" borderId="0" xfId="0" applyNumberFormat="1" applyFont="1"/>
    <xf numFmtId="0" fontId="6" fillId="2" borderId="0" xfId="0" applyFont="1" applyFill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6" fillId="2" borderId="0" xfId="0" applyFont="1" applyFill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3" fontId="13" fillId="0" borderId="0" xfId="0" applyNumberFormat="1" applyFont="1"/>
    <xf numFmtId="0" fontId="14" fillId="0" borderId="0" xfId="0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78D79-8B3F-1F44-886C-783396B89D35}">
  <dimension ref="B2:Q36"/>
  <sheetViews>
    <sheetView workbookViewId="0">
      <selection activeCell="F22" sqref="F22"/>
    </sheetView>
  </sheetViews>
  <sheetFormatPr baseColWidth="10" defaultRowHeight="16"/>
  <cols>
    <col min="3" max="3" width="15.5" bestFit="1" customWidth="1"/>
    <col min="4" max="4" width="14.33203125" customWidth="1"/>
    <col min="5" max="6" width="20.1640625" customWidth="1"/>
    <col min="8" max="8" width="13.6640625" bestFit="1" customWidth="1"/>
    <col min="11" max="12" width="5.5" customWidth="1"/>
    <col min="13" max="13" width="13.83203125" customWidth="1"/>
    <col min="14" max="14" width="9.33203125" bestFit="1" customWidth="1"/>
    <col min="15" max="15" width="14.33203125" bestFit="1" customWidth="1"/>
    <col min="17" max="17" width="14.5" customWidth="1"/>
  </cols>
  <sheetData>
    <row r="2" spans="2:17">
      <c r="B2" t="s">
        <v>7</v>
      </c>
    </row>
    <row r="4" spans="2:17" ht="36" customHeight="1">
      <c r="B4" s="7" t="s">
        <v>0</v>
      </c>
      <c r="C4" s="7" t="s">
        <v>6</v>
      </c>
      <c r="D4" s="7" t="s">
        <v>5</v>
      </c>
      <c r="E4" s="7" t="s">
        <v>4</v>
      </c>
      <c r="M4" s="15" t="s">
        <v>14</v>
      </c>
      <c r="N4" s="15" t="str">
        <f t="shared" ref="N4:Q7" si="0">B4</f>
        <v>Scenario</v>
      </c>
      <c r="O4" s="15" t="str">
        <f t="shared" si="0"/>
        <v>Loss amount</v>
      </c>
      <c r="P4" s="15" t="str">
        <f t="shared" si="0"/>
        <v>Loss Ratio</v>
      </c>
      <c r="Q4" s="15" t="str">
        <f t="shared" si="0"/>
        <v>Deviation from Baseline</v>
      </c>
    </row>
    <row r="5" spans="2:17">
      <c r="B5" s="8" t="s">
        <v>1</v>
      </c>
      <c r="C5" s="6">
        <v>6688315570</v>
      </c>
      <c r="D5" s="3">
        <f>C5/$H$9</f>
        <v>0.52898664060379452</v>
      </c>
      <c r="E5" s="3">
        <f>(C5-$C$9)/$C$9</f>
        <v>-0.24371614664479821</v>
      </c>
      <c r="M5" s="28" t="s">
        <v>15</v>
      </c>
      <c r="N5" s="9" t="str">
        <f t="shared" si="0"/>
        <v xml:space="preserve">Best </v>
      </c>
      <c r="O5" s="16">
        <f t="shared" si="0"/>
        <v>6688315570</v>
      </c>
      <c r="P5" s="17">
        <f t="shared" si="0"/>
        <v>0.52898664060379452</v>
      </c>
      <c r="Q5" s="17">
        <f t="shared" si="0"/>
        <v>-0.24371614664479821</v>
      </c>
    </row>
    <row r="6" spans="2:17">
      <c r="B6" s="8" t="s">
        <v>2</v>
      </c>
      <c r="C6" s="6">
        <v>9836766543</v>
      </c>
      <c r="D6" s="3">
        <f t="shared" ref="D6:D7" si="1">C6/$H$9</f>
        <v>0.77800128201567065</v>
      </c>
      <c r="E6" s="3">
        <f t="shared" ref="E6:E7" si="2">(C6-$C$9)/$C$9</f>
        <v>0.11229615705701028</v>
      </c>
      <c r="M6" s="28"/>
      <c r="N6" s="9" t="str">
        <f t="shared" si="0"/>
        <v xml:space="preserve">Moderate </v>
      </c>
      <c r="O6" s="16">
        <f t="shared" si="0"/>
        <v>9836766543</v>
      </c>
      <c r="P6" s="17">
        <f t="shared" si="0"/>
        <v>0.77800128201567065</v>
      </c>
      <c r="Q6" s="17">
        <f t="shared" si="0"/>
        <v>0.11229615705701028</v>
      </c>
    </row>
    <row r="7" spans="2:17">
      <c r="B7" s="8" t="s">
        <v>3</v>
      </c>
      <c r="C7" s="6">
        <v>13876152571</v>
      </c>
      <c r="D7" s="3">
        <f t="shared" si="1"/>
        <v>1.0974810109085502</v>
      </c>
      <c r="E7" s="3">
        <f t="shared" si="2"/>
        <v>0.56905128448366116</v>
      </c>
      <c r="M7" s="29"/>
      <c r="N7" s="10" t="str">
        <f t="shared" si="0"/>
        <v>Worse</v>
      </c>
      <c r="O7" s="18">
        <f t="shared" si="0"/>
        <v>13876152571</v>
      </c>
      <c r="P7" s="19">
        <f t="shared" si="0"/>
        <v>1.0974810109085502</v>
      </c>
      <c r="Q7" s="19">
        <f t="shared" si="0"/>
        <v>0.56905128448366116</v>
      </c>
    </row>
    <row r="8" spans="2:17">
      <c r="G8" s="11" t="s">
        <v>13</v>
      </c>
      <c r="H8" s="12">
        <v>8843657762</v>
      </c>
      <c r="M8" s="30" t="s">
        <v>16</v>
      </c>
      <c r="N8" s="9" t="str">
        <f t="shared" ref="N8:Q10" si="3">B14</f>
        <v xml:space="preserve">Best </v>
      </c>
      <c r="O8" s="16">
        <f t="shared" si="3"/>
        <v>14195365</v>
      </c>
      <c r="P8" s="17">
        <f t="shared" si="3"/>
        <v>0.43282317918760371</v>
      </c>
      <c r="Q8" s="17">
        <f t="shared" si="3"/>
        <v>-0.4374999900935973</v>
      </c>
    </row>
    <row r="9" spans="2:17">
      <c r="B9" s="11" t="s">
        <v>8</v>
      </c>
      <c r="C9" s="12">
        <f>H8</f>
        <v>8843657762</v>
      </c>
      <c r="D9" s="13">
        <f>C9/H9</f>
        <v>0.69945515596687846</v>
      </c>
      <c r="G9" s="11" t="s">
        <v>12</v>
      </c>
      <c r="H9" s="12">
        <v>12643637961</v>
      </c>
      <c r="M9" s="30"/>
      <c r="N9" s="9" t="str">
        <f t="shared" si="3"/>
        <v xml:space="preserve">Moderate </v>
      </c>
      <c r="O9" s="16">
        <f t="shared" si="3"/>
        <v>30535808</v>
      </c>
      <c r="P9" s="17">
        <f t="shared" si="3"/>
        <v>0.93105076886873017</v>
      </c>
      <c r="Q9" s="17">
        <f t="shared" si="3"/>
        <v>0.21000004596570862</v>
      </c>
    </row>
    <row r="10" spans="2:17">
      <c r="M10" s="31"/>
      <c r="N10" s="10" t="str">
        <f t="shared" si="3"/>
        <v>Worse</v>
      </c>
      <c r="O10" s="18">
        <f t="shared" si="3"/>
        <v>75708612</v>
      </c>
      <c r="P10" s="19">
        <f t="shared" si="3"/>
        <v>2.3083902483466092</v>
      </c>
      <c r="Q10" s="19">
        <f t="shared" si="3"/>
        <v>2</v>
      </c>
    </row>
    <row r="11" spans="2:17">
      <c r="B11" t="s">
        <v>9</v>
      </c>
      <c r="M11" s="30" t="s">
        <v>10</v>
      </c>
      <c r="N11" s="9" t="str">
        <f t="shared" ref="N11:Q13" si="4">B23</f>
        <v xml:space="preserve">Best </v>
      </c>
      <c r="O11" s="16">
        <f t="shared" si="4"/>
        <v>3012576</v>
      </c>
      <c r="P11" s="17">
        <f t="shared" si="4"/>
        <v>0.6433074543412709</v>
      </c>
      <c r="Q11" s="17">
        <f t="shared" si="4"/>
        <v>-0.23499167717336239</v>
      </c>
    </row>
    <row r="12" spans="2:17">
      <c r="M12" s="30"/>
      <c r="N12" s="9" t="str">
        <f t="shared" si="4"/>
        <v xml:space="preserve">Moderate </v>
      </c>
      <c r="O12" s="16">
        <f t="shared" si="4"/>
        <v>4340892</v>
      </c>
      <c r="P12" s="17">
        <f t="shared" si="4"/>
        <v>0.92695692393831319</v>
      </c>
      <c r="Q12" s="17">
        <f t="shared" si="4"/>
        <v>0.10231858332920683</v>
      </c>
    </row>
    <row r="13" spans="2:17">
      <c r="B13" s="7" t="s">
        <v>0</v>
      </c>
      <c r="C13" s="7" t="s">
        <v>6</v>
      </c>
      <c r="D13" s="7" t="s">
        <v>5</v>
      </c>
      <c r="E13" s="7" t="s">
        <v>4</v>
      </c>
      <c r="M13" s="31"/>
      <c r="N13" s="10" t="str">
        <f t="shared" si="4"/>
        <v>Worse</v>
      </c>
      <c r="O13" s="18">
        <f t="shared" si="4"/>
        <v>7442135</v>
      </c>
      <c r="P13" s="19">
        <f t="shared" si="4"/>
        <v>1.5891983875972171</v>
      </c>
      <c r="Q13" s="19">
        <f t="shared" si="4"/>
        <v>0.88984285030466248</v>
      </c>
    </row>
    <row r="14" spans="2:17">
      <c r="B14" s="8" t="s">
        <v>1</v>
      </c>
      <c r="C14" s="1">
        <f>SUM(H14:J14)</f>
        <v>14195365</v>
      </c>
      <c r="D14" s="3">
        <f>C14/SUM($H$18:$J$18)</f>
        <v>0.43282317918760371</v>
      </c>
      <c r="E14" s="3">
        <f>(C14-$C$18)/$C$18</f>
        <v>-0.4374999900935973</v>
      </c>
      <c r="F14" s="3"/>
      <c r="G14" s="11"/>
      <c r="H14" s="2">
        <v>10041826</v>
      </c>
      <c r="I14" s="2">
        <v>2905071</v>
      </c>
      <c r="J14" s="2">
        <v>1248468</v>
      </c>
      <c r="K14" s="2"/>
      <c r="L14" s="2"/>
      <c r="M14" s="30" t="s">
        <v>11</v>
      </c>
      <c r="N14" s="9" t="str">
        <f t="shared" ref="N14:Q16" si="5">B32</f>
        <v xml:space="preserve">Best </v>
      </c>
      <c r="O14" s="16">
        <f t="shared" si="5"/>
        <v>2475271261.6254039</v>
      </c>
      <c r="P14" s="17">
        <f t="shared" si="5"/>
        <v>0.54089846404738806</v>
      </c>
      <c r="Q14" s="17">
        <f t="shared" si="5"/>
        <v>-9.7818174989606266E-2</v>
      </c>
    </row>
    <row r="15" spans="2:17">
      <c r="B15" s="8" t="s">
        <v>2</v>
      </c>
      <c r="C15" s="1">
        <f>SUM(H15:J15)</f>
        <v>30535808</v>
      </c>
      <c r="D15" s="3">
        <f>C15/SUM($H$18:$J$18)</f>
        <v>0.93105076886873017</v>
      </c>
      <c r="E15" s="3">
        <f t="shared" ref="E15:E16" si="6">(C15-$C$18)/$C$18</f>
        <v>0.21000004596570862</v>
      </c>
      <c r="F15" s="3"/>
      <c r="G15" s="11"/>
      <c r="H15" s="2">
        <v>21601083</v>
      </c>
      <c r="I15" s="2">
        <v>6249131</v>
      </c>
      <c r="J15" s="2">
        <v>2685594</v>
      </c>
      <c r="M15" s="30"/>
      <c r="N15" s="9" t="str">
        <f t="shared" si="5"/>
        <v xml:space="preserve">Moderate </v>
      </c>
      <c r="O15" s="16">
        <f t="shared" si="5"/>
        <v>3040309391.0939355</v>
      </c>
      <c r="P15" s="17">
        <f t="shared" si="5"/>
        <v>0.66437109555083185</v>
      </c>
      <c r="Q15" s="17">
        <f t="shared" si="5"/>
        <v>0.10812577093155185</v>
      </c>
    </row>
    <row r="16" spans="2:17">
      <c r="B16" s="8" t="s">
        <v>3</v>
      </c>
      <c r="C16" s="1">
        <f>SUM(H16:J16)</f>
        <v>75708612</v>
      </c>
      <c r="D16" s="3">
        <f>C16/SUM($H$18:$J$18)</f>
        <v>2.3083902483466092</v>
      </c>
      <c r="E16" s="3">
        <f t="shared" si="6"/>
        <v>2</v>
      </c>
      <c r="F16" s="3"/>
      <c r="G16" s="11"/>
      <c r="H16" s="2">
        <v>53556403</v>
      </c>
      <c r="I16" s="2">
        <v>15493712</v>
      </c>
      <c r="J16" s="2">
        <v>6658497</v>
      </c>
      <c r="K16" s="2"/>
      <c r="L16" s="2"/>
      <c r="M16" s="31"/>
      <c r="N16" s="10" t="str">
        <f t="shared" si="5"/>
        <v>Worse</v>
      </c>
      <c r="O16" s="18">
        <f t="shared" si="5"/>
        <v>4085757842.5253477</v>
      </c>
      <c r="P16" s="19">
        <f t="shared" si="5"/>
        <v>0.89282341525685227</v>
      </c>
      <c r="Q16" s="19">
        <f t="shared" si="5"/>
        <v>0.48916869195966284</v>
      </c>
    </row>
    <row r="17" spans="2:12">
      <c r="G17" s="11" t="s">
        <v>13</v>
      </c>
      <c r="H17" s="12">
        <v>17852134</v>
      </c>
      <c r="I17" s="12">
        <v>5164571</v>
      </c>
      <c r="J17" s="12">
        <v>2219499</v>
      </c>
      <c r="K17" s="2"/>
      <c r="L17" s="2"/>
    </row>
    <row r="18" spans="2:12">
      <c r="B18" t="s">
        <v>8</v>
      </c>
      <c r="C18" s="1">
        <f>SUM(H17:J17)</f>
        <v>25236204</v>
      </c>
      <c r="D18" s="3">
        <f>C18/SUM(H18:J18)</f>
        <v>0.76946341611553637</v>
      </c>
      <c r="G18" s="11" t="s">
        <v>12</v>
      </c>
      <c r="H18" s="12">
        <v>22711510</v>
      </c>
      <c r="I18" s="12">
        <v>6412711</v>
      </c>
      <c r="J18" s="12">
        <v>3672925</v>
      </c>
      <c r="K18" s="2"/>
      <c r="L18" s="2"/>
    </row>
    <row r="20" spans="2:12">
      <c r="B20" t="s">
        <v>10</v>
      </c>
    </row>
    <row r="22" spans="2:12">
      <c r="B22" s="7" t="s">
        <v>0</v>
      </c>
      <c r="C22" s="7" t="s">
        <v>6</v>
      </c>
      <c r="D22" s="7" t="s">
        <v>5</v>
      </c>
      <c r="E22" s="7" t="s">
        <v>4</v>
      </c>
    </row>
    <row r="23" spans="2:12">
      <c r="B23" s="8" t="s">
        <v>1</v>
      </c>
      <c r="C23" s="5">
        <v>3012576</v>
      </c>
      <c r="D23" s="3">
        <f>C23/$H$27</f>
        <v>0.6433074543412709</v>
      </c>
      <c r="E23" s="3">
        <f>(C23-$C$27)/$C$27</f>
        <v>-0.23499167717336239</v>
      </c>
    </row>
    <row r="24" spans="2:12">
      <c r="B24" s="8" t="s">
        <v>2</v>
      </c>
      <c r="C24" s="5">
        <v>4340892</v>
      </c>
      <c r="D24" s="3">
        <f t="shared" ref="D24:D25" si="7">C24/$H$27</f>
        <v>0.92695692393831319</v>
      </c>
      <c r="E24" s="3">
        <f t="shared" ref="E24:E25" si="8">(C24-$C$27)/$C$27</f>
        <v>0.10231858332920683</v>
      </c>
    </row>
    <row r="25" spans="2:12">
      <c r="B25" s="8" t="s">
        <v>3</v>
      </c>
      <c r="C25" s="5">
        <v>7442135</v>
      </c>
      <c r="D25" s="3">
        <f t="shared" si="7"/>
        <v>1.5891983875972171</v>
      </c>
      <c r="E25" s="3">
        <f t="shared" si="8"/>
        <v>0.88984285030466248</v>
      </c>
    </row>
    <row r="26" spans="2:12">
      <c r="G26" s="11" t="s">
        <v>13</v>
      </c>
      <c r="H26" s="12"/>
    </row>
    <row r="27" spans="2:12">
      <c r="B27" t="s">
        <v>8</v>
      </c>
      <c r="C27" s="5">
        <v>3937965</v>
      </c>
      <c r="G27" s="11" t="s">
        <v>12</v>
      </c>
      <c r="H27" s="14">
        <v>4682949</v>
      </c>
    </row>
    <row r="28" spans="2:12">
      <c r="G28" s="11"/>
      <c r="H28" s="11"/>
    </row>
    <row r="29" spans="2:12">
      <c r="B29" t="s">
        <v>11</v>
      </c>
      <c r="G29" s="11"/>
      <c r="H29" s="11"/>
    </row>
    <row r="30" spans="2:12">
      <c r="G30" s="11"/>
      <c r="H30" s="11"/>
    </row>
    <row r="31" spans="2:12">
      <c r="B31" s="7" t="s">
        <v>0</v>
      </c>
      <c r="C31" s="7" t="s">
        <v>6</v>
      </c>
      <c r="D31" s="7" t="s">
        <v>5</v>
      </c>
      <c r="E31" s="7" t="s">
        <v>4</v>
      </c>
      <c r="G31" s="11"/>
      <c r="H31" s="11"/>
    </row>
    <row r="32" spans="2:12">
      <c r="B32" s="8" t="s">
        <v>1</v>
      </c>
      <c r="C32" s="1">
        <v>2475271261.6254039</v>
      </c>
      <c r="D32" s="3">
        <f>C32/$H$35</f>
        <v>0.54089846404738806</v>
      </c>
      <c r="E32" s="3">
        <f>(C32-$C$36)/$C$36</f>
        <v>-9.7818174989606266E-2</v>
      </c>
      <c r="G32" s="11"/>
      <c r="H32" s="11"/>
    </row>
    <row r="33" spans="2:8">
      <c r="B33" s="8" t="s">
        <v>2</v>
      </c>
      <c r="C33" s="1">
        <v>3040309391.0939355</v>
      </c>
      <c r="D33" s="3">
        <f t="shared" ref="D33:D34" si="9">C33/$H$35</f>
        <v>0.66437109555083185</v>
      </c>
      <c r="E33" s="3">
        <f t="shared" ref="E33:E34" si="10">(C33-$C$36)/$C$36</f>
        <v>0.10812577093155185</v>
      </c>
      <c r="G33" s="11"/>
      <c r="H33" s="11"/>
    </row>
    <row r="34" spans="2:8">
      <c r="B34" s="8" t="s">
        <v>3</v>
      </c>
      <c r="C34" s="1">
        <v>4085757842.5253477</v>
      </c>
      <c r="D34" s="3">
        <f t="shared" si="9"/>
        <v>0.89282341525685227</v>
      </c>
      <c r="E34" s="3">
        <f t="shared" si="10"/>
        <v>0.48916869195966284</v>
      </c>
      <c r="G34" s="11" t="s">
        <v>13</v>
      </c>
      <c r="H34" s="12">
        <v>2743650108</v>
      </c>
    </row>
    <row r="35" spans="2:8">
      <c r="G35" s="11" t="s">
        <v>12</v>
      </c>
      <c r="H35" s="12">
        <v>4576221650</v>
      </c>
    </row>
    <row r="36" spans="2:8">
      <c r="B36" t="s">
        <v>8</v>
      </c>
      <c r="C36" s="1">
        <f>H34</f>
        <v>2743650108</v>
      </c>
      <c r="D36" s="4">
        <f>C36/H35</f>
        <v>0.59954484678424613</v>
      </c>
    </row>
  </sheetData>
  <mergeCells count="4">
    <mergeCell ref="M5:M7"/>
    <mergeCell ref="M8:M10"/>
    <mergeCell ref="M11:M13"/>
    <mergeCell ref="M14:M16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99418-6B59-084D-8A8A-52F5E3913F9D}">
  <dimension ref="B2:F19"/>
  <sheetViews>
    <sheetView topLeftCell="A13" workbookViewId="0">
      <selection activeCell="E18" sqref="E18:E19"/>
    </sheetView>
  </sheetViews>
  <sheetFormatPr baseColWidth="10" defaultRowHeight="16"/>
  <cols>
    <col min="2" max="2" width="22" style="25" customWidth="1"/>
    <col min="3" max="3" width="23.1640625" customWidth="1"/>
    <col min="4" max="4" width="24.83203125" customWidth="1"/>
    <col min="5" max="5" width="21.5" customWidth="1"/>
    <col min="6" max="6" width="23.83203125" customWidth="1"/>
  </cols>
  <sheetData>
    <row r="2" spans="2:6">
      <c r="B2" s="25" t="s">
        <v>17</v>
      </c>
    </row>
    <row r="4" spans="2:6">
      <c r="B4" s="24" t="s">
        <v>18</v>
      </c>
      <c r="C4" s="24" t="s">
        <v>9</v>
      </c>
      <c r="D4" s="24" t="s">
        <v>15</v>
      </c>
      <c r="E4" s="24" t="s">
        <v>11</v>
      </c>
      <c r="F4" s="24" t="s">
        <v>10</v>
      </c>
    </row>
    <row r="5" spans="2:6" ht="85" hidden="1">
      <c r="B5" s="25" t="s">
        <v>19</v>
      </c>
      <c r="C5" s="20" t="s">
        <v>24</v>
      </c>
      <c r="D5" s="20" t="s">
        <v>20</v>
      </c>
      <c r="E5" s="20" t="s">
        <v>21</v>
      </c>
      <c r="F5" s="20" t="s">
        <v>23</v>
      </c>
    </row>
    <row r="6" spans="2:6" ht="113" customHeight="1">
      <c r="B6" s="26" t="s">
        <v>29</v>
      </c>
      <c r="C6" s="20" t="s">
        <v>25</v>
      </c>
      <c r="D6" s="22" t="s">
        <v>27</v>
      </c>
      <c r="E6" s="20" t="s">
        <v>31</v>
      </c>
      <c r="F6" s="20" t="s">
        <v>30</v>
      </c>
    </row>
    <row r="7" spans="2:6" ht="93" customHeight="1">
      <c r="B7" s="26" t="s">
        <v>22</v>
      </c>
      <c r="C7" s="20" t="s">
        <v>26</v>
      </c>
      <c r="D7" s="20" t="s">
        <v>28</v>
      </c>
      <c r="E7" s="20" t="s">
        <v>32</v>
      </c>
      <c r="F7" s="20" t="s">
        <v>33</v>
      </c>
    </row>
    <row r="9" spans="2:6">
      <c r="B9" s="25" t="s">
        <v>34</v>
      </c>
    </row>
    <row r="11" spans="2:6">
      <c r="B11" s="24" t="s">
        <v>18</v>
      </c>
      <c r="C11" s="24" t="s">
        <v>9</v>
      </c>
      <c r="D11" s="24" t="s">
        <v>15</v>
      </c>
      <c r="E11" s="24" t="s">
        <v>11</v>
      </c>
      <c r="F11" s="24" t="s">
        <v>10</v>
      </c>
    </row>
    <row r="12" spans="2:6" ht="102">
      <c r="B12" s="26" t="s">
        <v>35</v>
      </c>
      <c r="C12" s="21" t="s">
        <v>38</v>
      </c>
      <c r="D12" s="21" t="s">
        <v>37</v>
      </c>
      <c r="E12" s="21" t="s">
        <v>36</v>
      </c>
      <c r="F12" s="23" t="s">
        <v>39</v>
      </c>
    </row>
    <row r="13" spans="2:6" ht="85">
      <c r="B13" s="27" t="s">
        <v>55</v>
      </c>
      <c r="C13" s="21" t="s">
        <v>40</v>
      </c>
      <c r="D13" s="20" t="s">
        <v>41</v>
      </c>
      <c r="E13" s="20" t="s">
        <v>43</v>
      </c>
      <c r="F13" s="20" t="s">
        <v>42</v>
      </c>
    </row>
    <row r="15" spans="2:6">
      <c r="B15" s="25" t="s">
        <v>44</v>
      </c>
    </row>
    <row r="17" spans="2:6">
      <c r="B17" s="24" t="s">
        <v>18</v>
      </c>
      <c r="C17" s="24" t="s">
        <v>9</v>
      </c>
      <c r="D17" s="24" t="s">
        <v>15</v>
      </c>
      <c r="E17" s="24" t="s">
        <v>11</v>
      </c>
      <c r="F17" s="24" t="s">
        <v>10</v>
      </c>
    </row>
    <row r="18" spans="2:6" ht="161" customHeight="1">
      <c r="B18" s="26" t="s">
        <v>48</v>
      </c>
      <c r="C18" s="21" t="s">
        <v>47</v>
      </c>
      <c r="D18" s="21" t="s">
        <v>46</v>
      </c>
      <c r="E18" s="21" t="s">
        <v>45</v>
      </c>
      <c r="F18" s="23" t="s">
        <v>53</v>
      </c>
    </row>
    <row r="19" spans="2:6" ht="119">
      <c r="B19" s="26" t="s">
        <v>49</v>
      </c>
      <c r="C19" s="21" t="s">
        <v>51</v>
      </c>
      <c r="D19" s="20" t="s">
        <v>52</v>
      </c>
      <c r="E19" s="21" t="s">
        <v>50</v>
      </c>
      <c r="F19" s="23" t="s">
        <v>54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7D3BE-F8C9-EB45-9153-86DF6F0F224C}">
  <dimension ref="B2:O50"/>
  <sheetViews>
    <sheetView tabSelected="1" zoomScale="114" zoomScaleNormal="71" workbookViewId="0">
      <selection activeCell="G4" sqref="G4"/>
    </sheetView>
  </sheetViews>
  <sheetFormatPr baseColWidth="10" defaultRowHeight="16"/>
  <cols>
    <col min="3" max="3" width="15.6640625" bestFit="1" customWidth="1"/>
    <col min="4" max="4" width="14.33203125" customWidth="1"/>
    <col min="5" max="6" width="20.1640625" customWidth="1"/>
    <col min="8" max="8" width="13.83203125" bestFit="1" customWidth="1"/>
    <col min="9" max="10" width="11.1640625" bestFit="1" customWidth="1"/>
    <col min="11" max="11" width="5.5" customWidth="1"/>
    <col min="12" max="12" width="9.33203125" customWidth="1"/>
    <col min="13" max="13" width="19.83203125" customWidth="1"/>
    <col min="15" max="15" width="14.5" customWidth="1"/>
  </cols>
  <sheetData>
    <row r="2" spans="2:15">
      <c r="B2" t="s">
        <v>7</v>
      </c>
    </row>
    <row r="4" spans="2:15" ht="36" customHeight="1">
      <c r="B4" s="7" t="s">
        <v>0</v>
      </c>
      <c r="C4" s="7" t="s">
        <v>6</v>
      </c>
      <c r="D4" s="7" t="s">
        <v>5</v>
      </c>
      <c r="E4" s="7" t="s">
        <v>4</v>
      </c>
      <c r="L4" s="7" t="s">
        <v>18</v>
      </c>
      <c r="M4" s="7" t="s">
        <v>6</v>
      </c>
      <c r="N4" s="7" t="s">
        <v>5</v>
      </c>
      <c r="O4" s="7" t="s">
        <v>4</v>
      </c>
    </row>
    <row r="5" spans="2:15">
      <c r="B5" s="8" t="s">
        <v>56</v>
      </c>
      <c r="C5" s="6">
        <v>16134132202</v>
      </c>
      <c r="D5" s="3">
        <f>C5/$H$12</f>
        <v>1.2760672404387583</v>
      </c>
      <c r="E5" s="3">
        <f>(C5-$C$12)/$C$12</f>
        <v>0.82437319898630423</v>
      </c>
      <c r="L5" s="35">
        <v>1</v>
      </c>
      <c r="M5" s="6">
        <f>C5+C17+C29+C41</f>
        <v>19462389725.75803</v>
      </c>
      <c r="N5" s="3">
        <f>M5/SUM($H$12,$H$24:$J$24,$H$36,$H$47)</f>
        <v>1.1277746198037339</v>
      </c>
      <c r="O5" s="3">
        <f>(M5-$M$13)/$M$13</f>
        <v>0.67541168319435907</v>
      </c>
    </row>
    <row r="6" spans="2:15">
      <c r="B6" s="8" t="s">
        <v>57</v>
      </c>
      <c r="C6" s="6">
        <v>25902913114</v>
      </c>
      <c r="D6" s="3">
        <f>C6/$H$12</f>
        <v>2.0486914599974284</v>
      </c>
      <c r="E6" s="3">
        <f t="shared" ref="E6:E10" si="0">(C6-$C$12)/$C$12</f>
        <v>1.9289818546915407</v>
      </c>
      <c r="L6" s="35">
        <v>2</v>
      </c>
      <c r="M6" s="6">
        <f t="shared" ref="M6:M10" si="1">C6+C18+C30+C42</f>
        <v>28690019099</v>
      </c>
      <c r="N6" s="3">
        <f t="shared" ref="N6:N10" si="2">M6/SUM($H$12,$H$24:$J$24,$H$36,$H$47)</f>
        <v>1.6624821431211154</v>
      </c>
      <c r="O6" s="3">
        <f t="shared" ref="O6:O10" si="3">(M6-$M$13)/$M$13</f>
        <v>1.4697683001341573</v>
      </c>
    </row>
    <row r="7" spans="2:15">
      <c r="B7" s="8" t="s">
        <v>58</v>
      </c>
      <c r="C7" s="6">
        <v>15939874676</v>
      </c>
      <c r="D7" s="3">
        <f>C7/$H$12</f>
        <v>1.2607031872604566</v>
      </c>
      <c r="E7" s="3">
        <f t="shared" si="0"/>
        <v>0.80240745458191332</v>
      </c>
      <c r="L7" s="35">
        <v>3</v>
      </c>
      <c r="M7" s="6">
        <f t="shared" si="1"/>
        <v>19382803052.770325</v>
      </c>
      <c r="N7" s="3">
        <f t="shared" si="2"/>
        <v>1.1231628618883447</v>
      </c>
      <c r="O7" s="3">
        <f t="shared" si="3"/>
        <v>0.66856049772181159</v>
      </c>
    </row>
    <row r="8" spans="2:15">
      <c r="B8" s="8" t="s">
        <v>59</v>
      </c>
      <c r="C8" s="6">
        <f>C12</f>
        <v>8843657762</v>
      </c>
      <c r="D8" s="3">
        <f t="shared" ref="D8:D9" si="4">C8/$H$12</f>
        <v>0.69945515596687846</v>
      </c>
      <c r="E8" s="3">
        <f t="shared" si="0"/>
        <v>0</v>
      </c>
      <c r="L8" s="35">
        <v>4</v>
      </c>
      <c r="M8" s="6">
        <f t="shared" si="1"/>
        <v>12356448316.770325</v>
      </c>
      <c r="N8" s="3">
        <f t="shared" si="2"/>
        <v>0.71601118870449409</v>
      </c>
      <c r="O8" s="3">
        <f t="shared" si="3"/>
        <v>6.3699687675325189E-2</v>
      </c>
    </row>
    <row r="9" spans="2:15">
      <c r="B9" s="8" t="s">
        <v>63</v>
      </c>
      <c r="C9" s="6">
        <v>16026172532</v>
      </c>
      <c r="D9" s="3">
        <f t="shared" si="4"/>
        <v>1.2675285848450908</v>
      </c>
      <c r="E9" s="3">
        <f t="shared" si="0"/>
        <v>0.81216561781283458</v>
      </c>
      <c r="L9" s="35">
        <v>5</v>
      </c>
      <c r="M9" s="6">
        <f t="shared" si="1"/>
        <v>19314059546.881355</v>
      </c>
      <c r="N9" s="3">
        <f t="shared" si="2"/>
        <v>1.1191794260251062</v>
      </c>
      <c r="O9" s="3">
        <f t="shared" si="3"/>
        <v>0.66264274175591964</v>
      </c>
    </row>
    <row r="10" spans="2:15">
      <c r="B10" s="8" t="s">
        <v>64</v>
      </c>
      <c r="C10" s="6">
        <v>17626641771</v>
      </c>
      <c r="D10" s="3">
        <f>C10/$H$12</f>
        <v>1.3941115543936287</v>
      </c>
      <c r="E10" s="3">
        <f t="shared" si="0"/>
        <v>0.99313929206298479</v>
      </c>
      <c r="L10" s="35">
        <v>6</v>
      </c>
      <c r="M10" s="6">
        <f t="shared" si="1"/>
        <v>20857428732.881355</v>
      </c>
      <c r="N10" s="3">
        <f t="shared" si="2"/>
        <v>1.2086120507687337</v>
      </c>
      <c r="O10" s="3">
        <f t="shared" si="3"/>
        <v>0.79550303291966851</v>
      </c>
    </row>
    <row r="11" spans="2:15">
      <c r="G11" s="11" t="s">
        <v>13</v>
      </c>
      <c r="H11" s="12">
        <v>8843657762</v>
      </c>
      <c r="L11" s="32"/>
      <c r="M11" s="33"/>
      <c r="N11" s="17"/>
      <c r="O11" s="17"/>
    </row>
    <row r="12" spans="2:15">
      <c r="B12" s="11" t="s">
        <v>8</v>
      </c>
      <c r="C12" s="12">
        <f>H11</f>
        <v>8843657762</v>
      </c>
      <c r="D12" s="13">
        <f>C12/H12</f>
        <v>0.69945515596687846</v>
      </c>
      <c r="G12" s="11" t="s">
        <v>12</v>
      </c>
      <c r="H12" s="12">
        <v>12643637961</v>
      </c>
      <c r="L12" s="32"/>
      <c r="M12" s="33"/>
      <c r="N12" s="17"/>
      <c r="O12" s="17"/>
    </row>
    <row r="13" spans="2:15">
      <c r="L13" s="32" t="s">
        <v>8</v>
      </c>
      <c r="M13" s="33">
        <f>SUM(C12,C24,C36,C48)</f>
        <v>11616482039</v>
      </c>
      <c r="N13" s="17"/>
      <c r="O13" s="17"/>
    </row>
    <row r="14" spans="2:15">
      <c r="B14" t="s">
        <v>9</v>
      </c>
      <c r="L14" s="32"/>
      <c r="M14" s="33"/>
      <c r="N14" s="17"/>
      <c r="O14" s="17"/>
    </row>
    <row r="15" spans="2:15">
      <c r="L15" s="32"/>
      <c r="M15" s="33"/>
      <c r="N15" s="17"/>
      <c r="O15" s="17"/>
    </row>
    <row r="16" spans="2:15">
      <c r="B16" s="7" t="s">
        <v>0</v>
      </c>
      <c r="C16" s="7" t="s">
        <v>6</v>
      </c>
      <c r="D16" s="7" t="s">
        <v>5</v>
      </c>
      <c r="E16" s="7" t="s">
        <v>4</v>
      </c>
      <c r="L16" s="32"/>
      <c r="M16" s="33"/>
      <c r="N16" s="17"/>
      <c r="O16" s="17"/>
    </row>
    <row r="17" spans="2:15">
      <c r="B17" s="8" t="s">
        <v>56</v>
      </c>
      <c r="C17" s="5">
        <f>SUM(32490884,I23:J23)</f>
        <v>39874954</v>
      </c>
      <c r="D17" s="3">
        <f>C17/SUM($H$24:$J$24)</f>
        <v>1.2158056069878764</v>
      </c>
      <c r="E17" s="3">
        <f>(C17-$C$24)/$C$24</f>
        <v>0.58006941139008072</v>
      </c>
      <c r="F17" s="3"/>
      <c r="G17" s="11"/>
      <c r="H17" s="2">
        <v>10041826</v>
      </c>
      <c r="I17" s="2">
        <v>2905071</v>
      </c>
      <c r="J17" s="2">
        <v>1248468</v>
      </c>
      <c r="K17" s="2"/>
      <c r="L17" s="32"/>
      <c r="M17" s="33"/>
      <c r="N17" s="17"/>
      <c r="O17" s="17"/>
    </row>
    <row r="18" spans="2:15">
      <c r="B18" s="8" t="s">
        <v>57</v>
      </c>
      <c r="C18" s="5">
        <f>SUM(32133842,I23:J23)</f>
        <v>39517912</v>
      </c>
      <c r="D18" s="3">
        <f>C18/SUM($H$24:$J$24)</f>
        <v>1.2049192329113028</v>
      </c>
      <c r="E18" s="3">
        <f>(C18-$C$24)/$C$24</f>
        <v>0.56592140402732516</v>
      </c>
      <c r="F18" s="3"/>
      <c r="G18" s="11"/>
      <c r="H18" s="2">
        <v>21601083</v>
      </c>
      <c r="I18" s="2">
        <v>6249131</v>
      </c>
      <c r="J18" s="2">
        <v>2685594</v>
      </c>
      <c r="L18" s="32"/>
      <c r="M18" s="33"/>
      <c r="N18" s="17"/>
      <c r="O18" s="17"/>
    </row>
    <row r="19" spans="2:15">
      <c r="B19" s="8" t="s">
        <v>58</v>
      </c>
      <c r="C19" s="5">
        <f>SUM(14047633,H23,J23)</f>
        <v>34119266</v>
      </c>
      <c r="D19" s="3">
        <f>C19/SUM($H$24:$J$24)</f>
        <v>1.0403120442248237</v>
      </c>
      <c r="E19" s="3">
        <f>(C19-$C$24)/$C$24</f>
        <v>0.35199675830802446</v>
      </c>
      <c r="F19" s="3"/>
      <c r="G19" s="11"/>
      <c r="H19" s="2">
        <v>53556403</v>
      </c>
      <c r="I19" s="2">
        <v>15493712</v>
      </c>
      <c r="J19" s="2">
        <v>6658497</v>
      </c>
      <c r="K19" s="2"/>
      <c r="L19" s="32"/>
      <c r="M19" s="33"/>
      <c r="N19" s="17"/>
      <c r="O19" s="17"/>
    </row>
    <row r="20" spans="2:15">
      <c r="B20" s="8" t="s">
        <v>59</v>
      </c>
      <c r="C20" s="5">
        <f>SUM(H23,10845599,J23)</f>
        <v>30917232</v>
      </c>
      <c r="D20" s="3">
        <f>C20/SUM($H$24:$J$24)</f>
        <v>0.94268056129030253</v>
      </c>
      <c r="E20" s="3">
        <f>(C20-$C$24)/$C$24</f>
        <v>0.22511420497314097</v>
      </c>
      <c r="F20" s="3"/>
      <c r="G20" s="11"/>
      <c r="H20" s="2"/>
      <c r="I20" s="2"/>
      <c r="J20" s="2"/>
      <c r="K20" s="2"/>
      <c r="L20" s="32"/>
      <c r="M20" s="33"/>
      <c r="N20" s="17"/>
      <c r="O20" s="17"/>
    </row>
    <row r="21" spans="2:15">
      <c r="B21" s="8" t="s">
        <v>63</v>
      </c>
      <c r="C21" s="5">
        <f>SUM(8300926,H23:I23)</f>
        <v>31317631</v>
      </c>
      <c r="D21" s="3">
        <f>C21/SUM($H$24:$J$24)</f>
        <v>0.95488891015090149</v>
      </c>
      <c r="E21" s="3">
        <f>(C21-$C$24)/$C$24</f>
        <v>0.24098025994717748</v>
      </c>
      <c r="F21" s="3"/>
      <c r="G21" s="11"/>
      <c r="H21" s="2"/>
      <c r="I21" s="2"/>
      <c r="J21" s="2"/>
      <c r="K21" s="2"/>
      <c r="L21" s="32"/>
      <c r="M21" s="33"/>
      <c r="N21" s="17"/>
      <c r="O21" s="17"/>
    </row>
    <row r="22" spans="2:15">
      <c r="B22" s="8" t="s">
        <v>64</v>
      </c>
      <c r="C22" s="1">
        <f>SUM(H23:I23,5992647)</f>
        <v>29009352</v>
      </c>
      <c r="D22" s="3">
        <f>C22/SUM($H$24:$J$24)</f>
        <v>0.88450842643442207</v>
      </c>
      <c r="E22" s="3">
        <f>(C22-$C$24)/$C$24</f>
        <v>0.14951329447170422</v>
      </c>
      <c r="F22" s="3"/>
      <c r="G22" s="11"/>
      <c r="H22" s="2" t="s">
        <v>62</v>
      </c>
      <c r="I22" s="2" t="s">
        <v>60</v>
      </c>
      <c r="J22" s="2" t="s">
        <v>61</v>
      </c>
      <c r="K22" s="2"/>
      <c r="L22" s="32"/>
      <c r="M22" s="33"/>
      <c r="N22" s="17"/>
      <c r="O22" s="17"/>
    </row>
    <row r="23" spans="2:15">
      <c r="G23" s="11" t="s">
        <v>13</v>
      </c>
      <c r="H23" s="12">
        <v>17852134</v>
      </c>
      <c r="I23" s="12">
        <v>5164571</v>
      </c>
      <c r="J23" s="12">
        <v>2219499</v>
      </c>
      <c r="K23" s="2"/>
    </row>
    <row r="24" spans="2:15">
      <c r="B24" t="s">
        <v>8</v>
      </c>
      <c r="C24" s="1">
        <f>SUM(H23:J23)</f>
        <v>25236204</v>
      </c>
      <c r="D24" s="3">
        <f>C24/SUM(H24:J24)</f>
        <v>0.76946341611553637</v>
      </c>
      <c r="G24" s="11" t="s">
        <v>12</v>
      </c>
      <c r="H24" s="12">
        <v>22711510</v>
      </c>
      <c r="I24" s="12">
        <v>6412711</v>
      </c>
      <c r="J24" s="12">
        <v>3672925</v>
      </c>
      <c r="K24" s="2"/>
    </row>
    <row r="26" spans="2:15">
      <c r="B26" t="s">
        <v>10</v>
      </c>
    </row>
    <row r="28" spans="2:15">
      <c r="B28" s="7" t="s">
        <v>0</v>
      </c>
      <c r="C28" s="7" t="s">
        <v>6</v>
      </c>
      <c r="D28" s="7" t="s">
        <v>5</v>
      </c>
      <c r="E28" s="7" t="s">
        <v>4</v>
      </c>
    </row>
    <row r="29" spans="2:15">
      <c r="B29" s="8" t="s">
        <v>56</v>
      </c>
      <c r="C29" s="1">
        <v>4994201</v>
      </c>
      <c r="D29" s="3">
        <f>C29/$H$36</f>
        <v>1.0664649561633064</v>
      </c>
      <c r="E29" s="3">
        <f>(C29-$C$36)/$C$36</f>
        <v>0.26821873734276458</v>
      </c>
    </row>
    <row r="30" spans="2:15">
      <c r="B30" s="8" t="s">
        <v>57</v>
      </c>
      <c r="C30" s="1">
        <f>C36</f>
        <v>3937965</v>
      </c>
      <c r="D30" s="3">
        <f>C30/$H$36</f>
        <v>0.84091562816507293</v>
      </c>
      <c r="E30" s="3">
        <f>(C30-$C$36)/$C$36</f>
        <v>0</v>
      </c>
    </row>
    <row r="31" spans="2:15">
      <c r="B31" s="8" t="s">
        <v>58</v>
      </c>
      <c r="C31" s="1">
        <v>4769797</v>
      </c>
      <c r="D31" s="3">
        <f>C31/$H$36</f>
        <v>1.0185455788649418</v>
      </c>
      <c r="E31" s="3">
        <f>(C31-$C$36)/$C$36</f>
        <v>0.21123397490836002</v>
      </c>
    </row>
    <row r="32" spans="2:15">
      <c r="B32" s="8" t="s">
        <v>59</v>
      </c>
      <c r="C32" s="1">
        <f>C36</f>
        <v>3937965</v>
      </c>
      <c r="D32" s="3">
        <f>C32/$H$36</f>
        <v>0.84091562816507293</v>
      </c>
      <c r="E32" s="3">
        <f>(C32-$C$36)/$C$36</f>
        <v>0</v>
      </c>
    </row>
    <row r="33" spans="2:8">
      <c r="B33" s="8" t="s">
        <v>63</v>
      </c>
      <c r="C33" s="1">
        <v>4576955</v>
      </c>
      <c r="D33" s="3">
        <f>C33/$H$36</f>
        <v>0.9773659717413109</v>
      </c>
      <c r="E33" s="3">
        <f>(C33-$C$36)/$C$36</f>
        <v>0.16226401199604365</v>
      </c>
    </row>
    <row r="34" spans="2:8">
      <c r="B34" s="8" t="s">
        <v>64</v>
      </c>
      <c r="C34" s="1">
        <v>4576955</v>
      </c>
      <c r="D34" s="3">
        <f>C34/$H$36</f>
        <v>0.9773659717413109</v>
      </c>
      <c r="E34" s="3">
        <f>(C34-$C$36)/$C$36</f>
        <v>0.16226401199604365</v>
      </c>
    </row>
    <row r="35" spans="2:8">
      <c r="G35" s="11" t="s">
        <v>13</v>
      </c>
      <c r="H35" s="34">
        <v>3937965</v>
      </c>
    </row>
    <row r="36" spans="2:8">
      <c r="B36" t="s">
        <v>8</v>
      </c>
      <c r="C36" s="5">
        <v>3937965</v>
      </c>
      <c r="G36" s="11" t="s">
        <v>12</v>
      </c>
      <c r="H36" s="14">
        <v>4682949</v>
      </c>
    </row>
    <row r="37" spans="2:8">
      <c r="G37" s="11"/>
      <c r="H37" s="11"/>
    </row>
    <row r="38" spans="2:8">
      <c r="B38" t="s">
        <v>11</v>
      </c>
      <c r="G38" s="11"/>
      <c r="H38" s="11"/>
    </row>
    <row r="39" spans="2:8">
      <c r="G39" s="11"/>
      <c r="H39" s="11"/>
    </row>
    <row r="40" spans="2:8">
      <c r="B40" s="7" t="s">
        <v>0</v>
      </c>
      <c r="C40" s="7" t="s">
        <v>6</v>
      </c>
      <c r="D40" s="7" t="s">
        <v>5</v>
      </c>
      <c r="E40" s="7" t="s">
        <v>4</v>
      </c>
      <c r="G40" s="11"/>
      <c r="H40" s="11"/>
    </row>
    <row r="41" spans="2:8">
      <c r="B41" s="8" t="s">
        <v>56</v>
      </c>
      <c r="C41" s="1">
        <f>SUM(2031829800,I50:J50)</f>
        <v>3283388368.758029</v>
      </c>
      <c r="D41" s="3">
        <f>C41/$H$47</f>
        <v>0.71748892861385527</v>
      </c>
      <c r="E41" s="3">
        <f>(C41-$C$48)/$C$48</f>
        <v>0.19672270133288766</v>
      </c>
      <c r="G41" s="11"/>
      <c r="H41" s="11"/>
    </row>
    <row r="42" spans="2:8">
      <c r="B42" s="8" t="s">
        <v>57</v>
      </c>
      <c r="C42" s="1">
        <f>C48</f>
        <v>2743650108</v>
      </c>
      <c r="D42" s="3">
        <f>C42/$H$47</f>
        <v>0.59954484678424613</v>
      </c>
      <c r="E42" s="3">
        <f t="shared" ref="E42:E43" si="5">(C42-$C$48)/$C$48</f>
        <v>0</v>
      </c>
      <c r="G42" s="11"/>
      <c r="H42" s="11"/>
    </row>
    <row r="43" spans="2:8">
      <c r="B43" s="8" t="s">
        <v>58</v>
      </c>
      <c r="C43" s="1">
        <f>SUM(1400137628,H50,J50)</f>
        <v>3404039313.7703242</v>
      </c>
      <c r="D43" s="3">
        <f>C43/$H$47</f>
        <v>0.7438536797644677</v>
      </c>
      <c r="E43" s="3">
        <f t="shared" si="5"/>
        <v>0.24069731189292168</v>
      </c>
    </row>
    <row r="44" spans="2:8">
      <c r="B44" s="8" t="s">
        <v>59</v>
      </c>
      <c r="C44" s="1">
        <f>SUM(1474033672,H50,J50)</f>
        <v>3477935357.7703242</v>
      </c>
      <c r="D44" s="3">
        <f t="shared" ref="D44:D46" si="6">C44/$H$47</f>
        <v>0.76000150861799365</v>
      </c>
      <c r="E44" s="3">
        <f t="shared" ref="E44:E46" si="7">(C44-$C$48)/$C$48</f>
        <v>0.26763079141515816</v>
      </c>
      <c r="G44" s="11"/>
      <c r="H44" s="12"/>
    </row>
    <row r="45" spans="2:8">
      <c r="B45" s="8" t="s">
        <v>63</v>
      </c>
      <c r="C45" s="1">
        <f>SUM(H50:I50,1020152467)</f>
        <v>3251992428.8813567</v>
      </c>
      <c r="D45" s="3">
        <f t="shared" si="6"/>
        <v>0.71062826008031243</v>
      </c>
      <c r="E45" s="3">
        <f t="shared" si="7"/>
        <v>0.1852795731493313</v>
      </c>
      <c r="G45" s="11"/>
      <c r="H45" s="12"/>
    </row>
    <row r="46" spans="2:8">
      <c r="B46" s="8" t="s">
        <v>64</v>
      </c>
      <c r="C46" s="1">
        <f>SUM(H50:I50,965360693)</f>
        <v>3197200654.8813567</v>
      </c>
      <c r="D46" s="3">
        <f t="shared" si="6"/>
        <v>0.69865511319395046</v>
      </c>
      <c r="E46" s="3">
        <f t="shared" si="7"/>
        <v>0.16530917902355088</v>
      </c>
      <c r="G46" s="11" t="s">
        <v>13</v>
      </c>
      <c r="H46" s="12">
        <v>2743650108</v>
      </c>
    </row>
    <row r="47" spans="2:8">
      <c r="G47" s="11" t="s">
        <v>12</v>
      </c>
      <c r="H47" s="12">
        <v>4576221650</v>
      </c>
    </row>
    <row r="48" spans="2:8">
      <c r="B48" t="s">
        <v>8</v>
      </c>
      <c r="C48" s="1">
        <f>H46</f>
        <v>2743650108</v>
      </c>
      <c r="D48" s="4">
        <f>C48/H47</f>
        <v>0.59954484678424613</v>
      </c>
    </row>
    <row r="49" spans="7:10">
      <c r="G49" s="12"/>
      <c r="H49" s="12" t="s">
        <v>62</v>
      </c>
      <c r="I49" s="12" t="s">
        <v>60</v>
      </c>
      <c r="J49" s="12" t="s">
        <v>61</v>
      </c>
    </row>
    <row r="50" spans="7:10">
      <c r="G50" s="12" t="s">
        <v>65</v>
      </c>
      <c r="H50" s="12">
        <v>1492091539.446826</v>
      </c>
      <c r="I50" s="12">
        <v>739748422.43453062</v>
      </c>
      <c r="J50" s="12">
        <v>511810146.32349825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 Analysis- Report Table</vt:lpstr>
      <vt:lpstr>Stress Tests - Report Tables</vt:lpstr>
      <vt:lpstr>Scenario Analysis- Report 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Gemma LS</dc:creator>
  <cp:lastModifiedBy>Gemma LS</cp:lastModifiedBy>
  <dcterms:created xsi:type="dcterms:W3CDTF">2026-03-27T05:01:29Z</dcterms:created>
  <dcterms:modified xsi:type="dcterms:W3CDTF">2026-03-28T10:12:50Z</dcterms:modified>
</cp:coreProperties>
</file>