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gemls/Desktop/UNSW/ACTL 4001/SOA_2026_Case_Study_Materials/"/>
    </mc:Choice>
  </mc:AlternateContent>
  <xr:revisionPtr revIDLastSave="0" documentId="13_ncr:1_{810E169B-1A95-BC48-B14D-BD03459B6759}" xr6:coauthVersionLast="47" xr6:coauthVersionMax="47" xr10:uidLastSave="{00000000-0000-0000-0000-000000000000}"/>
  <bookViews>
    <workbookView xWindow="280" yWindow="2200" windowWidth="28800" windowHeight="14960" activeTab="1" xr2:uid="{84DBB47E-9408-45F0-9F51-7EAE26B9D89D}"/>
  </bookViews>
  <sheets>
    <sheet name="Sheet1" sheetId="1" r:id="rId1"/>
    <sheet name="Sheet2" sheetId="2" r:id="rId2"/>
  </sheets>
  <definedNames>
    <definedName name="_xlchart.v1.0" hidden="1">Sheet1!$C$3</definedName>
    <definedName name="_xlchart.v1.1" hidden="1">Sheet1!$C$4:$C$18</definedName>
    <definedName name="_xlchart.v1.2" hidden="1">Sheet1!#REF!</definedName>
    <definedName name="_xlchart.v1.3" hidden="1">Sheet1!$D$32:$D$46</definedName>
    <definedName name="_xlchart.v1.4" hidden="1">Sheet1!#REF!</definedName>
    <definedName name="_xlchart.v1.5" hidden="1">Sheet1!$D$32:$D$46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D5" i="2"/>
  <c r="E5" i="2"/>
  <c r="F5" i="2"/>
  <c r="G5" i="2"/>
  <c r="H5" i="2"/>
  <c r="I5" i="2"/>
  <c r="J5" i="2"/>
  <c r="C6" i="2"/>
  <c r="D6" i="2"/>
  <c r="E6" i="2"/>
  <c r="F6" i="2"/>
  <c r="G6" i="2"/>
  <c r="H6" i="2"/>
  <c r="I6" i="2"/>
  <c r="J6" i="2"/>
  <c r="C7" i="2"/>
  <c r="D7" i="2"/>
  <c r="E7" i="2"/>
  <c r="F7" i="2"/>
  <c r="G7" i="2"/>
  <c r="H7" i="2"/>
  <c r="I7" i="2"/>
  <c r="J7" i="2"/>
  <c r="C8" i="2"/>
  <c r="D8" i="2"/>
  <c r="E8" i="2"/>
  <c r="F8" i="2"/>
  <c r="G8" i="2"/>
  <c r="H8" i="2"/>
  <c r="I8" i="2"/>
  <c r="J8" i="2"/>
  <c r="C9" i="2"/>
  <c r="D9" i="2"/>
  <c r="E9" i="2"/>
  <c r="F9" i="2"/>
  <c r="G9" i="2"/>
  <c r="H9" i="2"/>
  <c r="I9" i="2"/>
  <c r="J9" i="2"/>
  <c r="C10" i="2"/>
  <c r="D10" i="2"/>
  <c r="E10" i="2"/>
  <c r="F10" i="2"/>
  <c r="G10" i="2"/>
  <c r="H10" i="2"/>
  <c r="I10" i="2"/>
  <c r="J10" i="2"/>
  <c r="C11" i="2"/>
  <c r="D11" i="2"/>
  <c r="E11" i="2"/>
  <c r="F11" i="2"/>
  <c r="G11" i="2"/>
  <c r="H11" i="2"/>
  <c r="I11" i="2"/>
  <c r="J11" i="2"/>
  <c r="C12" i="2"/>
  <c r="D12" i="2"/>
  <c r="E12" i="2"/>
  <c r="F12" i="2"/>
  <c r="G12" i="2"/>
  <c r="H12" i="2"/>
  <c r="I12" i="2"/>
  <c r="J12" i="2"/>
  <c r="C13" i="2"/>
  <c r="D13" i="2"/>
  <c r="E13" i="2"/>
  <c r="F13" i="2"/>
  <c r="G13" i="2"/>
  <c r="H13" i="2"/>
  <c r="I13" i="2"/>
  <c r="J13" i="2"/>
  <c r="C14" i="2"/>
  <c r="D14" i="2"/>
  <c r="E14" i="2"/>
  <c r="F14" i="2"/>
  <c r="G14" i="2"/>
  <c r="H14" i="2"/>
  <c r="I14" i="2"/>
  <c r="J14" i="2"/>
  <c r="C15" i="2"/>
  <c r="D15" i="2"/>
  <c r="E15" i="2"/>
  <c r="F15" i="2"/>
  <c r="G15" i="2"/>
  <c r="H15" i="2"/>
  <c r="I15" i="2"/>
  <c r="J15" i="2"/>
  <c r="C16" i="2"/>
  <c r="D16" i="2"/>
  <c r="E16" i="2"/>
  <c r="F16" i="2"/>
  <c r="G16" i="2"/>
  <c r="H16" i="2"/>
  <c r="I16" i="2"/>
  <c r="J16" i="2"/>
  <c r="C17" i="2"/>
  <c r="D17" i="2"/>
  <c r="E17" i="2"/>
  <c r="F17" i="2"/>
  <c r="G17" i="2"/>
  <c r="H17" i="2"/>
  <c r="I17" i="2"/>
  <c r="J17" i="2"/>
  <c r="C18" i="2"/>
  <c r="D18" i="2"/>
  <c r="E18" i="2"/>
  <c r="F18" i="2"/>
  <c r="G18" i="2"/>
  <c r="H18" i="2"/>
  <c r="I18" i="2"/>
  <c r="J18" i="2"/>
  <c r="C19" i="2"/>
  <c r="D19" i="2"/>
  <c r="E19" i="2"/>
  <c r="F19" i="2"/>
  <c r="G19" i="2"/>
  <c r="H19" i="2"/>
  <c r="I19" i="2"/>
  <c r="J19" i="2"/>
  <c r="C20" i="2"/>
  <c r="D20" i="2"/>
  <c r="E20" i="2"/>
  <c r="F20" i="2"/>
  <c r="G20" i="2"/>
  <c r="H20" i="2"/>
  <c r="I20" i="2"/>
  <c r="J20" i="2"/>
  <c r="C21" i="2"/>
  <c r="D21" i="2"/>
  <c r="E21" i="2"/>
  <c r="F21" i="2"/>
  <c r="G21" i="2"/>
  <c r="H21" i="2"/>
  <c r="I21" i="2"/>
  <c r="J21" i="2"/>
  <c r="C22" i="2"/>
  <c r="D22" i="2"/>
  <c r="E22" i="2"/>
  <c r="F22" i="2"/>
  <c r="G22" i="2"/>
  <c r="H22" i="2"/>
  <c r="I22" i="2"/>
  <c r="J22" i="2"/>
  <c r="C23" i="2"/>
  <c r="D23" i="2"/>
  <c r="E23" i="2"/>
  <c r="F23" i="2"/>
  <c r="G23" i="2"/>
  <c r="H23" i="2"/>
  <c r="I23" i="2"/>
  <c r="J23" i="2"/>
  <c r="C24" i="2"/>
  <c r="D24" i="2"/>
  <c r="E24" i="2"/>
  <c r="F24" i="2"/>
  <c r="G24" i="2"/>
  <c r="H24" i="2"/>
  <c r="I24" i="2"/>
  <c r="J24" i="2"/>
  <c r="C25" i="2"/>
  <c r="D25" i="2"/>
  <c r="E25" i="2"/>
  <c r="F25" i="2"/>
  <c r="G25" i="2"/>
  <c r="H25" i="2"/>
  <c r="I25" i="2"/>
  <c r="J25" i="2"/>
  <c r="C26" i="2"/>
  <c r="D26" i="2"/>
  <c r="E26" i="2"/>
  <c r="F26" i="2"/>
  <c r="G26" i="2"/>
  <c r="H26" i="2"/>
  <c r="I26" i="2"/>
  <c r="J26" i="2"/>
  <c r="C27" i="2"/>
  <c r="D27" i="2"/>
  <c r="E27" i="2"/>
  <c r="F27" i="2"/>
  <c r="G27" i="2"/>
  <c r="H27" i="2"/>
  <c r="I27" i="2"/>
  <c r="J27" i="2"/>
  <c r="C28" i="2"/>
  <c r="D28" i="2"/>
  <c r="E28" i="2"/>
  <c r="F28" i="2"/>
  <c r="G28" i="2"/>
  <c r="H28" i="2"/>
  <c r="I28" i="2"/>
  <c r="J28" i="2"/>
  <c r="C29" i="2"/>
  <c r="D29" i="2"/>
  <c r="E29" i="2"/>
  <c r="F29" i="2"/>
  <c r="G29" i="2"/>
  <c r="H29" i="2"/>
  <c r="I29" i="2"/>
  <c r="J29" i="2"/>
  <c r="D4" i="2"/>
  <c r="E4" i="2"/>
  <c r="F4" i="2"/>
  <c r="G4" i="2"/>
  <c r="H4" i="2"/>
  <c r="I4" i="2"/>
  <c r="J4" i="2"/>
  <c r="C4" i="2"/>
  <c r="B4" i="2"/>
  <c r="K4" i="2"/>
  <c r="B5" i="2"/>
  <c r="K5" i="2"/>
  <c r="B6" i="2"/>
  <c r="K6" i="2"/>
  <c r="B7" i="2"/>
  <c r="K7" i="2"/>
  <c r="B8" i="2"/>
  <c r="K8" i="2"/>
  <c r="B9" i="2"/>
  <c r="K9" i="2"/>
  <c r="B10" i="2"/>
  <c r="K10" i="2"/>
  <c r="B11" i="2"/>
  <c r="K11" i="2"/>
  <c r="B12" i="2"/>
  <c r="K12" i="2"/>
  <c r="B13" i="2"/>
  <c r="K13" i="2"/>
  <c r="B14" i="2"/>
  <c r="K14" i="2"/>
  <c r="B15" i="2"/>
  <c r="K15" i="2"/>
  <c r="B16" i="2"/>
  <c r="K16" i="2"/>
  <c r="B17" i="2"/>
  <c r="K17" i="2"/>
  <c r="B18" i="2"/>
  <c r="K18" i="2"/>
  <c r="B19" i="2"/>
  <c r="K19" i="2"/>
  <c r="B20" i="2"/>
  <c r="K20" i="2"/>
  <c r="B21" i="2"/>
  <c r="K21" i="2"/>
  <c r="B22" i="2"/>
  <c r="K22" i="2"/>
  <c r="B23" i="2"/>
  <c r="K23" i="2"/>
  <c r="B24" i="2"/>
  <c r="K24" i="2"/>
  <c r="B25" i="2"/>
  <c r="K25" i="2"/>
  <c r="B26" i="2"/>
  <c r="K26" i="2"/>
  <c r="B27" i="2"/>
  <c r="K27" i="2"/>
  <c r="B28" i="2"/>
  <c r="K28" i="2"/>
  <c r="B29" i="2"/>
  <c r="K29" i="2"/>
  <c r="F20" i="1"/>
  <c r="F21" i="1" s="1"/>
  <c r="F19" i="1"/>
  <c r="I12" i="1"/>
  <c r="I11" i="1"/>
  <c r="I10" i="1"/>
  <c r="E19" i="1"/>
  <c r="D20" i="1"/>
  <c r="D21" i="1"/>
  <c r="D22" i="1"/>
  <c r="D23" i="1"/>
  <c r="D24" i="1"/>
  <c r="D25" i="1"/>
  <c r="D26" i="1"/>
  <c r="D27" i="1"/>
  <c r="D28" i="1"/>
  <c r="D29" i="1"/>
  <c r="D19" i="1"/>
  <c r="E20" i="1"/>
  <c r="E21" i="1"/>
  <c r="E22" i="1"/>
  <c r="E23" i="1"/>
  <c r="E24" i="1"/>
  <c r="E25" i="1"/>
  <c r="E26" i="1"/>
  <c r="E27" i="1"/>
  <c r="E28" i="1"/>
  <c r="E29" i="1"/>
  <c r="C19" i="1"/>
  <c r="C20" i="1" s="1"/>
  <c r="C21" i="1" s="1"/>
  <c r="I7" i="1"/>
  <c r="I6" i="1"/>
  <c r="I5" i="1"/>
  <c r="F22" i="1" l="1"/>
  <c r="F23" i="1" s="1"/>
  <c r="C22" i="1"/>
  <c r="F24" i="1" l="1"/>
  <c r="C23" i="1"/>
  <c r="F25" i="1" l="1"/>
  <c r="F26" i="1" s="1"/>
  <c r="C24" i="1"/>
  <c r="F27" i="1" l="1"/>
  <c r="F28" i="1" s="1"/>
  <c r="F29" i="1" s="1"/>
  <c r="C25" i="1"/>
  <c r="C26" i="1" l="1"/>
  <c r="C27" i="1"/>
  <c r="C28" i="1" s="1"/>
  <c r="C2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tc={1F71D2EF-FD8B-E94C-82BE-4FDD8025B8D1}</author>
    <author>tc={93D563FD-E048-3045-83B2-57E0A19DFC49}</author>
    <author>tc={E02187B8-D35A-1F44-9844-9BF850F69C7B}</author>
    <author>tc={6FF322ED-4158-7147-B59D-E91E2DF42ABE}</author>
  </authors>
  <commentList>
    <comment ref="C3" authorId="0" shapeId="0" xr:uid="{1F71D2EF-FD8B-E94C-82BE-4FDD8025B8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5-year moving average
</t>
      </text>
    </comment>
    <comment ref="D3" authorId="1" shapeId="0" xr:uid="{93D563FD-E048-3045-83B2-57E0A19DFC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Linear regression
</t>
      </text>
    </comment>
    <comment ref="E3" authorId="2" shapeId="0" xr:uid="{E02187B8-D35A-1F44-9844-9BF850F69C7B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Linear Regression</t>
      </text>
    </comment>
    <comment ref="F3" authorId="3" shapeId="0" xr:uid="{6FF322ED-4158-7147-B59D-E91E2DF42A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5-year moving average
</t>
      </text>
    </comment>
  </commentList>
</comments>
</file>

<file path=xl/sharedStrings.xml><?xml version="1.0" encoding="utf-8"?>
<sst xmlns="http://schemas.openxmlformats.org/spreadsheetml/2006/main" count="24" uniqueCount="19">
  <si>
    <t xml:space="preserve"> Overnight Bank Lending Rate</t>
  </si>
  <si>
    <t>Inflation</t>
  </si>
  <si>
    <t>Year</t>
  </si>
  <si>
    <t>1-Year Risk Free Annual Spot Rate</t>
  </si>
  <si>
    <t>10-Year Risk Free Annual Spot Rate</t>
  </si>
  <si>
    <t>Interest Rates and Inflation Rates Projected</t>
  </si>
  <si>
    <t>5-year</t>
  </si>
  <si>
    <t>Average Inflation</t>
  </si>
  <si>
    <t>10-year</t>
  </si>
  <si>
    <t>all -year</t>
  </si>
  <si>
    <t>Average 10-year spot rate</t>
  </si>
  <si>
    <t>5-Year Risk Free Annual Spot Rate</t>
  </si>
  <si>
    <t>2-Year Risk Free Annual Spot Rate</t>
  </si>
  <si>
    <t>3-Year Risk Free Annual Spot Rate</t>
  </si>
  <si>
    <t>4-Year Risk Free Annual Spot Rate</t>
  </si>
  <si>
    <t>6-Year Risk Free Annual Spot Rate</t>
  </si>
  <si>
    <t>7-Year Risk Free Annual Spot Rate</t>
  </si>
  <si>
    <t>8-Year Risk Free Annual Spot Rate</t>
  </si>
  <si>
    <t>9-Year Risk Free Annual Spot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</si>
</sst>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 Light"/>
      <family val="2"/>
      <scheme val="minor"/>
    </font>
    <font>
      <sz val="11"/>
      <color theme="1"/>
      <name val="Calibri Light"/>
      <family val="2"/>
      <scheme val="minor"/>
    </font>
    <font>
      <b/>
      <sz val="11"/>
      <color theme="0"/>
      <name val="Calibri Light"/>
      <family val="2"/>
      <scheme val="minor"/>
    </font>
    <font>
      <b/>
      <sz val="14"/>
      <color theme="4"/>
      <name val="Calibri Light"/>
      <family val="2"/>
      <scheme val="minor"/>
    </font>
    <font>
      <sz val="11"/>
      <color theme="4"/>
      <name val="Calibri Light"/>
      <family val="2"/>
      <scheme val="minor"/>
    </font>
    <font>
      <sz val="11"/>
      <color rgb="FFFF0000"/>
      <name val="Calibri Light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9" fontId="0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1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10" fontId="0" fillId="3" borderId="0" xfId="0" applyNumberFormat="1" applyFill="1"/>
    <xf numFmtId="0" fontId="5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Inflation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5"/>
            <c:dispRSqr val="1"/>
            <c:dispEq val="1"/>
            <c:trendlineLbl>
              <c:layout>
                <c:manualLayout>
                  <c:x val="-0.11540235828730372"/>
                  <c:y val="-6.82741212372376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2.4438594429427665E-2"/>
                  <c:y val="0.128422308455462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Sheet1!$C$4:$C$18</c:f>
              <c:numCache>
                <c:formatCode>0.00%</c:formatCode>
                <c:ptCount val="15"/>
                <c:pt idx="0">
                  <c:v>3.7694526796428575E-2</c:v>
                </c:pt>
                <c:pt idx="1">
                  <c:v>2.3173022985428574E-2</c:v>
                </c:pt>
                <c:pt idx="2">
                  <c:v>1.4768714532000004E-2</c:v>
                </c:pt>
                <c:pt idx="3">
                  <c:v>1.0826943980142861E-2</c:v>
                </c:pt>
                <c:pt idx="4">
                  <c:v>2.161934595000001E-3</c:v>
                </c:pt>
                <c:pt idx="5">
                  <c:v>7.0673327228571456E-3</c:v>
                </c:pt>
                <c:pt idx="6">
                  <c:v>1.5508568856857145E-2</c:v>
                </c:pt>
                <c:pt idx="7">
                  <c:v>2.1555430738285718E-2</c:v>
                </c:pt>
                <c:pt idx="8">
                  <c:v>1.8084746500000002E-2</c:v>
                </c:pt>
                <c:pt idx="9">
                  <c:v>7.3377818021428589E-3</c:v>
                </c:pt>
                <c:pt idx="10">
                  <c:v>2.9389208455999998E-2</c:v>
                </c:pt>
                <c:pt idx="11">
                  <c:v>7.0848661199999996E-2</c:v>
                </c:pt>
                <c:pt idx="12">
                  <c:v>5.9786544433640419E-2</c:v>
                </c:pt>
                <c:pt idx="13">
                  <c:v>2.7634436430798749E-2</c:v>
                </c:pt>
                <c:pt idx="14">
                  <c:v>2.3905736589285704E-2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B-B641-A144-34FCEF7A1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963040"/>
        <c:axId val="572053647"/>
      </c:scatterChart>
      <c:valAx>
        <c:axId val="45896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053647"/>
        <c:crosses val="autoZero"/>
        <c:crossBetween val="midCat"/>
      </c:valAx>
      <c:valAx>
        <c:axId val="57205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963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 Overnight Bank Lending Rate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1362847501205205E-2"/>
                  <c:y val="-9.775740057809229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3.8599075474632101E-2"/>
                  <c:y val="0.106768521023479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Sheet1!$D$4:$D$18</c:f>
              <c:numCache>
                <c:formatCode>0.00%</c:formatCode>
                <c:ptCount val="15"/>
                <c:pt idx="0">
                  <c:v>1.5175498082191765E-3</c:v>
                </c:pt>
                <c:pt idx="1">
                  <c:v>1.9996170491803225E-3</c:v>
                </c:pt>
                <c:pt idx="2">
                  <c:v>1.6286848000000016E-3</c:v>
                </c:pt>
                <c:pt idx="3">
                  <c:v>1.3475138630136983E-3</c:v>
                </c:pt>
                <c:pt idx="4">
                  <c:v>1.8932383123287657E-3</c:v>
                </c:pt>
                <c:pt idx="5">
                  <c:v>4.808207081967217E-3</c:v>
                </c:pt>
                <c:pt idx="6">
                  <c:v>1.2019182369146045E-2</c:v>
                </c:pt>
                <c:pt idx="7">
                  <c:v>2.0303170424242446E-2</c:v>
                </c:pt>
                <c:pt idx="8">
                  <c:v>2.4190284111553745E-2</c:v>
                </c:pt>
                <c:pt idx="9">
                  <c:v>4.3032553359683865E-3</c:v>
                </c:pt>
                <c:pt idx="10">
                  <c:v>1.2531088888888848E-3</c:v>
                </c:pt>
                <c:pt idx="11">
                  <c:v>1.8250985151999993E-2</c:v>
                </c:pt>
                <c:pt idx="12">
                  <c:v>5.4047648320000009E-2</c:v>
                </c:pt>
                <c:pt idx="13">
                  <c:v>5.7362710948207142E-2</c:v>
                </c:pt>
                <c:pt idx="14">
                  <c:v>5.0506368421052765E-2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DF-C04C-BCA7-FD694D1BF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783504"/>
        <c:axId val="461785776"/>
      </c:scatterChart>
      <c:valAx>
        <c:axId val="46178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785776"/>
        <c:crosses val="autoZero"/>
        <c:crossBetween val="midCat"/>
      </c:valAx>
      <c:valAx>
        <c:axId val="4617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78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1-Year Risk Free Annual Spot Rate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089583372484168"/>
                  <c:y val="8.09433226787245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53356886475109466"/>
                  <c:y val="0.127296795821314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Sheet1!$E$4:$E$18</c:f>
              <c:numCache>
                <c:formatCode>0.00%</c:formatCode>
                <c:ptCount val="15"/>
                <c:pt idx="0">
                  <c:v>2.4138414842191764E-3</c:v>
                </c:pt>
                <c:pt idx="1">
                  <c:v>2.3921361189803221E-3</c:v>
                </c:pt>
                <c:pt idx="2">
                  <c:v>1.9298700931000016E-3</c:v>
                </c:pt>
                <c:pt idx="3">
                  <c:v>1.7443105410536984E-3</c:v>
                </c:pt>
                <c:pt idx="4">
                  <c:v>4.0306069286487655E-3</c:v>
                </c:pt>
                <c:pt idx="5">
                  <c:v>7.1996646525272169E-3</c:v>
                </c:pt>
                <c:pt idx="6">
                  <c:v>1.4152419484316047E-2</c:v>
                </c:pt>
                <c:pt idx="7">
                  <c:v>2.1799728471742445E-2</c:v>
                </c:pt>
                <c:pt idx="8">
                  <c:v>2.3010827374513744E-2</c:v>
                </c:pt>
                <c:pt idx="9">
                  <c:v>4.3032553359683865E-3</c:v>
                </c:pt>
                <c:pt idx="10">
                  <c:v>1.4531088888888849E-3</c:v>
                </c:pt>
                <c:pt idx="11">
                  <c:v>2.9350985151999992E-2</c:v>
                </c:pt>
                <c:pt idx="12">
                  <c:v>5.454764832000001E-2</c:v>
                </c:pt>
                <c:pt idx="13">
                  <c:v>5.2762710948207142E-2</c:v>
                </c:pt>
                <c:pt idx="14">
                  <c:v>4.7406368421052766E-2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76-0147-90B2-CAB5FC30F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598560"/>
        <c:axId val="1969600288"/>
      </c:scatterChart>
      <c:valAx>
        <c:axId val="196959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00288"/>
        <c:crosses val="autoZero"/>
        <c:crossBetween val="midCat"/>
      </c:valAx>
      <c:valAx>
        <c:axId val="196960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9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10-Year Risk Free Annual Spot Rate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902385540108104"/>
                  <c:y val="-1.62313806497639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5"/>
            <c:dispRSqr val="1"/>
            <c:dispEq val="1"/>
            <c:trendlineLbl>
              <c:layout>
                <c:manualLayout>
                  <c:x val="1.2645030039098509E-2"/>
                  <c:y val="7.80606616482230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Sheet1!$F$4:$F$18</c:f>
              <c:numCache>
                <c:formatCode>0.00%</c:formatCode>
                <c:ptCount val="15"/>
                <c:pt idx="0">
                  <c:v>3.1124085634359179E-2</c:v>
                </c:pt>
                <c:pt idx="1">
                  <c:v>2.076300661018032E-2</c:v>
                </c:pt>
                <c:pt idx="2">
                  <c:v>2.7251167612330006E-2</c:v>
                </c:pt>
                <c:pt idx="3">
                  <c:v>2.8728069672213696E-2</c:v>
                </c:pt>
                <c:pt idx="4">
                  <c:v>2.4318066163208765E-2</c:v>
                </c:pt>
                <c:pt idx="5">
                  <c:v>2.0919444851967218E-2</c:v>
                </c:pt>
                <c:pt idx="6">
                  <c:v>2.7045913723146044E-2</c:v>
                </c:pt>
                <c:pt idx="7">
                  <c:v>3.2582581474742446E-2</c:v>
                </c:pt>
                <c:pt idx="8">
                  <c:v>2.3993532789553747E-2</c:v>
                </c:pt>
                <c:pt idx="9">
                  <c:v>9.5032553359683872E-3</c:v>
                </c:pt>
                <c:pt idx="10">
                  <c:v>1.4953108888888884E-2</c:v>
                </c:pt>
                <c:pt idx="11">
                  <c:v>3.0850985151999993E-2</c:v>
                </c:pt>
                <c:pt idx="12">
                  <c:v>4.3347648320000008E-2</c:v>
                </c:pt>
                <c:pt idx="13">
                  <c:v>4.7962710948207136E-2</c:v>
                </c:pt>
                <c:pt idx="14">
                  <c:v>5.1006368421052765E-2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0-ED4E-8067-EA905C015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756112"/>
        <c:axId val="461758112"/>
      </c:scatterChart>
      <c:valAx>
        <c:axId val="46175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758112"/>
        <c:crosses val="autoZero"/>
        <c:crossBetween val="midCat"/>
      </c:valAx>
      <c:valAx>
        <c:axId val="4617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75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49</xdr:row>
      <xdr:rowOff>61014</xdr:rowOff>
    </xdr:from>
    <xdr:to>
      <xdr:col>5</xdr:col>
      <xdr:colOff>1251595</xdr:colOff>
      <xdr:row>68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2484C-12C4-FA78-D78B-30A477FA0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203200</xdr:colOff>
      <xdr:row>29</xdr:row>
      <xdr:rowOff>95250</xdr:rowOff>
    </xdr:from>
    <xdr:to>
      <xdr:col>16</xdr:col>
      <xdr:colOff>254000</xdr:colOff>
      <xdr:row>47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526442-8DB8-3578-C913-9E962A017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30</xdr:row>
      <xdr:rowOff>95250</xdr:rowOff>
    </xdr:from>
    <xdr:to>
      <xdr:col>5</xdr:col>
      <xdr:colOff>1168400</xdr:colOff>
      <xdr:row>47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C40552-1D59-2E5B-5386-379183DBB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143564</xdr:colOff>
      <xdr:row>50</xdr:row>
      <xdr:rowOff>8834</xdr:rowOff>
    </xdr:from>
    <xdr:to>
      <xdr:col>15</xdr:col>
      <xdr:colOff>460145</xdr:colOff>
      <xdr:row>68</xdr:row>
      <xdr:rowOff>-1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520655-25FF-B47D-3F1F-C39D7FBBE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emma Lapins-Silvirs" id="{E0909ED1-6AD2-7846-9220-17C18675646C}" userId="S::z5479968@ad.unsw.edu.au::01e46b4e-0f60-4870-8bc6-f807cd9e2c34" providerId="AD"/>
</personList>
</file>

<file path=xl/theme/theme1.xml><?xml version="1.0" encoding="utf-8"?>
<a:theme xmlns:a="http://schemas.openxmlformats.org/drawingml/2006/main" name="SOA Excel">
  <a:themeElements>
    <a:clrScheme name="SOA Blue hyperlink">
      <a:dk1>
        <a:srgbClr val="000000"/>
      </a:dk1>
      <a:lt1>
        <a:sysClr val="window" lastClr="FFFFFF"/>
      </a:lt1>
      <a:dk2>
        <a:srgbClr val="44546A"/>
      </a:dk2>
      <a:lt2>
        <a:srgbClr val="E7E6E6"/>
      </a:lt2>
      <a:accent1>
        <a:srgbClr val="024D7C"/>
      </a:accent1>
      <a:accent2>
        <a:srgbClr val="77C4D5"/>
      </a:accent2>
      <a:accent3>
        <a:srgbClr val="D23138"/>
      </a:accent3>
      <a:accent4>
        <a:srgbClr val="FDCE07"/>
      </a:accent4>
      <a:accent5>
        <a:srgbClr val="BABF33"/>
      </a:accent5>
      <a:accent6>
        <a:srgbClr val="E27F26"/>
      </a:accent6>
      <a:hlink>
        <a:srgbClr val="4E82A3"/>
      </a:hlink>
      <a:folHlink>
        <a:srgbClr val="024D7C"/>
      </a:folHlink>
    </a:clrScheme>
    <a:fontScheme name="SOA">
      <a:majorFont>
        <a:latin typeface="Calibri"/>
        <a:ea typeface=""/>
        <a:cs typeface=""/>
      </a:majorFont>
      <a:minorFont>
        <a:latin typeface="Calibri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3-10T23:44:13.34" personId="{E0909ED1-6AD2-7846-9220-17C18675646C}" id="{1F71D2EF-FD8B-E94C-82BE-4FDD8025B8D1}">
    <text xml:space="preserve">5-year moving average
</text>
  </threadedComment>
  <threadedComment ref="D3" dT="2026-03-10T23:47:43.69" personId="{E0909ED1-6AD2-7846-9220-17C18675646C}" id="{93D563FD-E048-3045-83B2-57E0A19DFC49}">
    <text xml:space="preserve">Linear regression
</text>
  </threadedComment>
  <threadedComment ref="E3" dT="2026-03-10T23:47:53.66" personId="{E0909ED1-6AD2-7846-9220-17C18675646C}" id="{E02187B8-D35A-1F44-9844-9BF850F69C7B}">
    <text>Linear Regression</text>
  </threadedComment>
  <threadedComment ref="F3" dT="2026-03-10T23:44:28.90" personId="{E0909ED1-6AD2-7846-9220-17C18675646C}" id="{6FF322ED-4158-7147-B59D-E91E2DF42ABE}">
    <text xml:space="preserve">5-year moving average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F5A8-7C3D-4731-A799-66F5F2713F93}">
  <dimension ref="A1:Q46"/>
  <sheetViews>
    <sheetView workbookViewId="0">
      <selection activeCell="E3" sqref="E3:F29"/>
    </sheetView>
  </sheetViews>
  <sheetFormatPr baseColWidth="10" defaultColWidth="9" defaultRowHeight="15" x14ac:dyDescent="0.2"/>
  <cols>
    <col min="2" max="2" width="10.83203125" style="2" customWidth="1"/>
    <col min="3" max="3" width="10.5" style="2" customWidth="1"/>
    <col min="4" max="4" width="16.5" style="2" customWidth="1"/>
    <col min="5" max="6" width="16.6640625" style="2" customWidth="1"/>
    <col min="8" max="9" width="21.33203125" customWidth="1"/>
    <col min="10" max="10" width="20.1640625" bestFit="1" customWidth="1"/>
  </cols>
  <sheetData>
    <row r="1" spans="1:17" ht="19" x14ac:dyDescent="0.25">
      <c r="B1" s="7" t="s">
        <v>5</v>
      </c>
    </row>
    <row r="2" spans="1:17" x14ac:dyDescent="0.2">
      <c r="B2" s="8"/>
    </row>
    <row r="3" spans="1:17" ht="32" x14ac:dyDescent="0.2">
      <c r="B3" s="5" t="s">
        <v>2</v>
      </c>
      <c r="C3" s="5" t="s">
        <v>1</v>
      </c>
      <c r="D3" s="6" t="s">
        <v>0</v>
      </c>
      <c r="E3" s="6" t="s">
        <v>3</v>
      </c>
      <c r="F3" s="6" t="s">
        <v>4</v>
      </c>
    </row>
    <row r="4" spans="1:17" x14ac:dyDescent="0.2">
      <c r="A4">
        <v>1</v>
      </c>
      <c r="B4" s="2">
        <v>2160</v>
      </c>
      <c r="C4" s="3">
        <v>3.7694526796428575E-2</v>
      </c>
      <c r="D4" s="4">
        <v>1.5175498082191765E-3</v>
      </c>
      <c r="E4" s="4">
        <v>2.4138414842191764E-3</v>
      </c>
      <c r="F4" s="4">
        <v>3.1124085634359179E-2</v>
      </c>
      <c r="H4" s="5" t="s">
        <v>7</v>
      </c>
      <c r="I4" s="5">
        <v>2175</v>
      </c>
      <c r="N4" s="1"/>
      <c r="O4" s="1"/>
      <c r="P4" s="1"/>
      <c r="Q4" s="1"/>
    </row>
    <row r="5" spans="1:17" x14ac:dyDescent="0.2">
      <c r="A5">
        <v>2</v>
      </c>
      <c r="B5" s="2">
        <v>2161</v>
      </c>
      <c r="C5" s="3">
        <v>2.3173022985428574E-2</v>
      </c>
      <c r="D5" s="4">
        <v>1.9996170491803225E-3</v>
      </c>
      <c r="E5" s="4">
        <v>2.3921361189803221E-3</v>
      </c>
      <c r="F5" s="4">
        <v>2.076300661018032E-2</v>
      </c>
      <c r="H5" s="1" t="s">
        <v>9</v>
      </c>
      <c r="I5" s="1">
        <f>AVERAGE($C$4:$C$18)</f>
        <v>2.4649572707924512E-2</v>
      </c>
      <c r="N5" s="1"/>
      <c r="O5" s="1"/>
      <c r="P5" s="1"/>
      <c r="Q5" s="1"/>
    </row>
    <row r="6" spans="1:17" x14ac:dyDescent="0.2">
      <c r="A6">
        <v>3</v>
      </c>
      <c r="B6" s="2">
        <v>2162</v>
      </c>
      <c r="C6" s="3">
        <v>1.4768714532000004E-2</v>
      </c>
      <c r="D6" s="4">
        <v>1.6286848000000016E-3</v>
      </c>
      <c r="E6" s="4">
        <v>1.9298700931000016E-3</v>
      </c>
      <c r="F6" s="4">
        <v>2.7251167612330006E-2</v>
      </c>
      <c r="H6" s="13" t="s">
        <v>6</v>
      </c>
      <c r="I6" s="13">
        <f>AVERAGE(C14:C18)</f>
        <v>4.2312917421944971E-2</v>
      </c>
      <c r="N6" s="1"/>
      <c r="O6" s="1"/>
      <c r="P6" s="1"/>
      <c r="Q6" s="1"/>
    </row>
    <row r="7" spans="1:17" x14ac:dyDescent="0.2">
      <c r="A7">
        <v>4</v>
      </c>
      <c r="B7" s="2">
        <v>2163</v>
      </c>
      <c r="C7" s="3">
        <v>1.0826943980142861E-2</v>
      </c>
      <c r="D7" s="4">
        <v>1.3475138630136983E-3</v>
      </c>
      <c r="E7" s="4">
        <v>1.7443105410536984E-3</v>
      </c>
      <c r="F7" s="4">
        <v>2.8728069672213696E-2</v>
      </c>
      <c r="H7" s="1" t="s">
        <v>8</v>
      </c>
      <c r="I7" s="1">
        <f>AVERAGE(C8:C18)</f>
        <v>2.575276202953343E-2</v>
      </c>
      <c r="N7" s="1"/>
      <c r="O7" s="1"/>
      <c r="P7" s="1"/>
      <c r="Q7" s="1"/>
    </row>
    <row r="8" spans="1:17" x14ac:dyDescent="0.2">
      <c r="A8">
        <v>5</v>
      </c>
      <c r="B8" s="2">
        <v>2164</v>
      </c>
      <c r="C8" s="3">
        <v>2.161934595000001E-3</v>
      </c>
      <c r="D8" s="4">
        <v>1.8932383123287657E-3</v>
      </c>
      <c r="E8" s="4">
        <v>4.0306069286487655E-3</v>
      </c>
      <c r="F8" s="4">
        <v>2.4318066163208765E-2</v>
      </c>
      <c r="H8" s="1"/>
      <c r="I8" s="1"/>
      <c r="N8" s="1"/>
      <c r="O8" s="1"/>
      <c r="P8" s="1"/>
      <c r="Q8" s="1"/>
    </row>
    <row r="9" spans="1:17" x14ac:dyDescent="0.2">
      <c r="A9">
        <v>6</v>
      </c>
      <c r="B9" s="2">
        <v>2165</v>
      </c>
      <c r="C9" s="3">
        <v>7.0673327228571456E-3</v>
      </c>
      <c r="D9" s="4">
        <v>4.808207081967217E-3</v>
      </c>
      <c r="E9" s="4">
        <v>7.1996646525272169E-3</v>
      </c>
      <c r="F9" s="4">
        <v>2.0919444851967218E-2</v>
      </c>
      <c r="H9" s="5" t="s">
        <v>10</v>
      </c>
      <c r="I9" s="5">
        <v>2175</v>
      </c>
      <c r="N9" s="1"/>
      <c r="O9" s="1"/>
      <c r="P9" s="1"/>
      <c r="Q9" s="1"/>
    </row>
    <row r="10" spans="1:17" x14ac:dyDescent="0.2">
      <c r="A10">
        <v>7</v>
      </c>
      <c r="B10" s="2">
        <v>2166</v>
      </c>
      <c r="C10" s="3">
        <v>1.5508568856857145E-2</v>
      </c>
      <c r="D10" s="4">
        <v>1.2019182369146045E-2</v>
      </c>
      <c r="E10" s="4">
        <v>1.4152419484316047E-2</v>
      </c>
      <c r="F10" s="4">
        <v>2.7045913723146044E-2</v>
      </c>
      <c r="H10" s="1" t="s">
        <v>9</v>
      </c>
      <c r="I10" s="1">
        <f>AVERAGE(F4:F18)</f>
        <v>2.8956663039854568E-2</v>
      </c>
      <c r="N10" s="1"/>
      <c r="O10" s="1"/>
      <c r="P10" s="1"/>
      <c r="Q10" s="1"/>
    </row>
    <row r="11" spans="1:17" x14ac:dyDescent="0.2">
      <c r="A11">
        <v>8</v>
      </c>
      <c r="B11" s="2">
        <v>2167</v>
      </c>
      <c r="C11" s="3">
        <v>2.1555430738285718E-2</v>
      </c>
      <c r="D11" s="4">
        <v>2.0303170424242446E-2</v>
      </c>
      <c r="E11" s="4">
        <v>2.1799728471742445E-2</v>
      </c>
      <c r="F11" s="4">
        <v>3.2582581474742446E-2</v>
      </c>
      <c r="H11" s="13" t="s">
        <v>6</v>
      </c>
      <c r="I11" s="13">
        <f>AVERAGE(F14:F18)</f>
        <v>3.7624164346029762E-2</v>
      </c>
      <c r="N11" s="1"/>
      <c r="O11" s="1"/>
      <c r="P11" s="1"/>
      <c r="Q11" s="1"/>
    </row>
    <row r="12" spans="1:17" x14ac:dyDescent="0.2">
      <c r="A12">
        <v>9</v>
      </c>
      <c r="B12" s="2">
        <v>2168</v>
      </c>
      <c r="C12" s="3">
        <v>1.8084746500000002E-2</v>
      </c>
      <c r="D12" s="4">
        <v>2.4190284111553745E-2</v>
      </c>
      <c r="E12" s="4">
        <v>2.3010827374513744E-2</v>
      </c>
      <c r="F12" s="4">
        <v>2.3993532789553747E-2</v>
      </c>
      <c r="H12" s="1" t="s">
        <v>8</v>
      </c>
      <c r="I12" s="1">
        <f>AVERAGE(F9:F18)</f>
        <v>3.0216554990552664E-2</v>
      </c>
      <c r="J12" s="1"/>
      <c r="K12" s="1"/>
      <c r="N12" s="1"/>
      <c r="O12" s="1"/>
      <c r="P12" s="1"/>
      <c r="Q12" s="1"/>
    </row>
    <row r="13" spans="1:17" x14ac:dyDescent="0.2">
      <c r="A13">
        <v>10</v>
      </c>
      <c r="B13" s="2">
        <v>2169</v>
      </c>
      <c r="C13" s="3">
        <v>7.3377818021428589E-3</v>
      </c>
      <c r="D13" s="4">
        <v>4.3032553359683865E-3</v>
      </c>
      <c r="E13" s="4">
        <v>4.3032553359683865E-3</v>
      </c>
      <c r="F13" s="4">
        <v>9.5032553359683872E-3</v>
      </c>
      <c r="H13" s="1"/>
      <c r="I13" s="1"/>
      <c r="J13" s="1"/>
      <c r="K13" s="1"/>
      <c r="N13" s="1"/>
      <c r="O13" s="1"/>
      <c r="P13" s="1"/>
      <c r="Q13" s="1"/>
    </row>
    <row r="14" spans="1:17" x14ac:dyDescent="0.2">
      <c r="A14">
        <v>11</v>
      </c>
      <c r="B14" s="2">
        <v>2170</v>
      </c>
      <c r="C14" s="3">
        <v>2.9389208455999998E-2</v>
      </c>
      <c r="D14" s="4">
        <v>1.2531088888888848E-3</v>
      </c>
      <c r="E14" s="4">
        <v>1.4531088888888849E-3</v>
      </c>
      <c r="F14" s="4">
        <v>1.4953108888888884E-2</v>
      </c>
      <c r="H14" s="1"/>
      <c r="I14" s="1"/>
      <c r="J14" s="1"/>
      <c r="K14" s="1"/>
      <c r="N14" s="1"/>
      <c r="O14" s="1"/>
      <c r="P14" s="1"/>
      <c r="Q14" s="1"/>
    </row>
    <row r="15" spans="1:17" x14ac:dyDescent="0.2">
      <c r="A15">
        <v>12</v>
      </c>
      <c r="B15" s="2">
        <v>2171</v>
      </c>
      <c r="C15" s="3">
        <v>7.0848661199999996E-2</v>
      </c>
      <c r="D15" s="4">
        <v>1.8250985151999993E-2</v>
      </c>
      <c r="E15" s="4">
        <v>2.9350985151999992E-2</v>
      </c>
      <c r="F15" s="4">
        <v>3.0850985151999993E-2</v>
      </c>
      <c r="H15" s="1"/>
      <c r="I15" s="1"/>
      <c r="J15" s="1"/>
      <c r="K15" s="1"/>
      <c r="N15" s="1"/>
      <c r="O15" s="1"/>
      <c r="P15" s="1"/>
      <c r="Q15" s="1"/>
    </row>
    <row r="16" spans="1:17" x14ac:dyDescent="0.2">
      <c r="A16">
        <v>13</v>
      </c>
      <c r="B16" s="2">
        <v>2172</v>
      </c>
      <c r="C16" s="3">
        <v>5.9786544433640419E-2</v>
      </c>
      <c r="D16" s="4">
        <v>5.4047648320000009E-2</v>
      </c>
      <c r="E16" s="4">
        <v>5.454764832000001E-2</v>
      </c>
      <c r="F16" s="4">
        <v>4.3347648320000008E-2</v>
      </c>
      <c r="H16" s="1"/>
      <c r="I16" s="1"/>
      <c r="J16" s="1"/>
      <c r="K16" s="1"/>
      <c r="N16" s="1"/>
      <c r="O16" s="1"/>
      <c r="P16" s="1"/>
      <c r="Q16" s="1"/>
    </row>
    <row r="17" spans="1:17" x14ac:dyDescent="0.2">
      <c r="A17">
        <v>14</v>
      </c>
      <c r="B17" s="2">
        <v>2173</v>
      </c>
      <c r="C17" s="3">
        <v>2.7634436430798749E-2</v>
      </c>
      <c r="D17" s="4">
        <v>5.7362710948207142E-2</v>
      </c>
      <c r="E17" s="4">
        <v>5.2762710948207142E-2</v>
      </c>
      <c r="F17" s="4">
        <v>4.7962710948207136E-2</v>
      </c>
      <c r="H17" s="1"/>
      <c r="I17" s="1"/>
      <c r="J17" s="1"/>
      <c r="K17" s="1"/>
      <c r="N17" s="1"/>
      <c r="O17" s="1"/>
      <c r="P17" s="1"/>
      <c r="Q17" s="1"/>
    </row>
    <row r="18" spans="1:17" x14ac:dyDescent="0.2">
      <c r="A18">
        <v>15</v>
      </c>
      <c r="B18" s="2">
        <v>2174</v>
      </c>
      <c r="C18" s="3">
        <v>2.3905736589285704E-2</v>
      </c>
      <c r="D18" s="4">
        <v>5.0506368421052765E-2</v>
      </c>
      <c r="E18" s="4">
        <v>4.7406368421052766E-2</v>
      </c>
      <c r="F18" s="4">
        <v>5.1006368421052765E-2</v>
      </c>
      <c r="H18" s="1"/>
      <c r="I18" s="1"/>
      <c r="J18" s="1"/>
      <c r="K18" s="1"/>
    </row>
    <row r="19" spans="1:17" x14ac:dyDescent="0.2">
      <c r="A19" s="14">
        <v>16</v>
      </c>
      <c r="B19" s="10">
        <v>2175</v>
      </c>
      <c r="C19" s="12">
        <f>AVERAGE(C14:C18)</f>
        <v>4.2312917421944971E-2</v>
      </c>
      <c r="D19" s="11">
        <f>0.0035*A19-0.0103</f>
        <v>4.5700000000000005E-2</v>
      </c>
      <c r="E19" s="11">
        <f>0.0036*A19-0.0119</f>
        <v>4.5699999999999998E-2</v>
      </c>
      <c r="F19" s="12">
        <f>AVERAGE(F14:F18)</f>
        <v>3.7624164346029762E-2</v>
      </c>
    </row>
    <row r="20" spans="1:17" x14ac:dyDescent="0.2">
      <c r="A20" s="14">
        <v>17</v>
      </c>
      <c r="B20" s="10">
        <v>2176</v>
      </c>
      <c r="C20" s="12">
        <f t="shared" ref="C20:C29" si="0">AVERAGE(C15:C19)</f>
        <v>4.4897659215133966E-2</v>
      </c>
      <c r="D20" s="11">
        <f t="shared" ref="D20:D29" si="1">0.0035*A20-0.0103</f>
        <v>4.9200000000000008E-2</v>
      </c>
      <c r="E20" s="11">
        <f t="shared" ref="E20:E29" si="2">0.0014*EXP(0.2279*A20)</f>
        <v>6.740857508602302E-2</v>
      </c>
      <c r="F20" s="12">
        <f t="shared" ref="F20:F29" si="3">AVERAGE(F15:F19)</f>
        <v>4.2158375437457943E-2</v>
      </c>
    </row>
    <row r="21" spans="1:17" x14ac:dyDescent="0.2">
      <c r="A21" s="14">
        <v>18</v>
      </c>
      <c r="B21" s="10">
        <v>2177</v>
      </c>
      <c r="C21" s="12">
        <f t="shared" si="0"/>
        <v>3.9707458818160762E-2</v>
      </c>
      <c r="D21" s="11">
        <f t="shared" si="1"/>
        <v>5.2699999999999997E-2</v>
      </c>
      <c r="E21" s="11">
        <f t="shared" si="2"/>
        <v>8.4662455305000939E-2</v>
      </c>
      <c r="F21" s="12">
        <f t="shared" si="3"/>
        <v>4.4419853494549522E-2</v>
      </c>
    </row>
    <row r="22" spans="1:17" x14ac:dyDescent="0.2">
      <c r="A22" s="14">
        <v>19</v>
      </c>
      <c r="B22" s="10">
        <v>2178</v>
      </c>
      <c r="C22" s="12">
        <f t="shared" si="0"/>
        <v>3.5691641695064828E-2</v>
      </c>
      <c r="D22" s="11">
        <f t="shared" si="1"/>
        <v>5.62E-2</v>
      </c>
      <c r="E22" s="11">
        <f t="shared" si="2"/>
        <v>0.10633263392860964</v>
      </c>
      <c r="F22" s="12">
        <f t="shared" si="3"/>
        <v>4.4634294529459426E-2</v>
      </c>
    </row>
    <row r="23" spans="1:17" x14ac:dyDescent="0.2">
      <c r="A23" s="14">
        <v>20</v>
      </c>
      <c r="B23" s="10">
        <v>2179</v>
      </c>
      <c r="C23" s="12">
        <f t="shared" si="0"/>
        <v>3.7303082747918048E-2</v>
      </c>
      <c r="D23" s="11">
        <f t="shared" si="1"/>
        <v>5.9700000000000003E-2</v>
      </c>
      <c r="E23" s="11">
        <f t="shared" si="2"/>
        <v>0.13354950547397879</v>
      </c>
      <c r="F23" s="12">
        <f t="shared" si="3"/>
        <v>4.3968611245709888E-2</v>
      </c>
    </row>
    <row r="24" spans="1:17" x14ac:dyDescent="0.2">
      <c r="A24" s="14">
        <v>21</v>
      </c>
      <c r="B24" s="10">
        <v>2180</v>
      </c>
      <c r="C24" s="12">
        <f t="shared" si="0"/>
        <v>3.9982551979644516E-2</v>
      </c>
      <c r="D24" s="11">
        <f t="shared" si="1"/>
        <v>6.3199999999999992E-2</v>
      </c>
      <c r="E24" s="11">
        <f t="shared" si="2"/>
        <v>0.16773279992592671</v>
      </c>
      <c r="F24" s="12">
        <f t="shared" si="3"/>
        <v>4.2561059810641309E-2</v>
      </c>
    </row>
    <row r="25" spans="1:17" x14ac:dyDescent="0.2">
      <c r="A25" s="14">
        <v>22</v>
      </c>
      <c r="B25" s="10">
        <v>2181</v>
      </c>
      <c r="C25" s="12">
        <f t="shared" si="0"/>
        <v>3.9516478891184426E-2</v>
      </c>
      <c r="D25" s="11">
        <f t="shared" si="1"/>
        <v>6.6699999999999995E-2</v>
      </c>
      <c r="E25" s="11">
        <f t="shared" si="2"/>
        <v>0.2106656409631763</v>
      </c>
      <c r="F25" s="12">
        <f t="shared" si="3"/>
        <v>4.3548438903563622E-2</v>
      </c>
    </row>
    <row r="26" spans="1:17" x14ac:dyDescent="0.2">
      <c r="A26" s="14">
        <v>23</v>
      </c>
      <c r="B26" s="10">
        <v>2182</v>
      </c>
      <c r="C26" s="12">
        <f t="shared" si="0"/>
        <v>3.8440242826394515E-2</v>
      </c>
      <c r="D26" s="11">
        <f t="shared" si="1"/>
        <v>7.0199999999999999E-2</v>
      </c>
      <c r="E26" s="11">
        <f t="shared" si="2"/>
        <v>0.264587560107652</v>
      </c>
      <c r="F26" s="12">
        <f t="shared" si="3"/>
        <v>4.3826451596784756E-2</v>
      </c>
    </row>
    <row r="27" spans="1:17" x14ac:dyDescent="0.2">
      <c r="A27" s="14">
        <v>24</v>
      </c>
      <c r="B27" s="10">
        <v>2183</v>
      </c>
      <c r="C27" s="12">
        <f t="shared" si="0"/>
        <v>3.8186799628041265E-2</v>
      </c>
      <c r="D27" s="11">
        <f t="shared" si="1"/>
        <v>7.3700000000000002E-2</v>
      </c>
      <c r="E27" s="11">
        <f t="shared" si="2"/>
        <v>0.33231131874968306</v>
      </c>
      <c r="F27" s="12">
        <f t="shared" si="3"/>
        <v>4.3707771217231801E-2</v>
      </c>
    </row>
    <row r="28" spans="1:17" x14ac:dyDescent="0.2">
      <c r="A28" s="14">
        <v>25</v>
      </c>
      <c r="B28" s="10">
        <v>2184</v>
      </c>
      <c r="C28" s="12">
        <f t="shared" si="0"/>
        <v>3.8685831214636555E-2</v>
      </c>
      <c r="D28" s="11">
        <f t="shared" si="1"/>
        <v>7.7200000000000005E-2</v>
      </c>
      <c r="E28" s="11">
        <f t="shared" si="2"/>
        <v>0.41736963190643872</v>
      </c>
      <c r="F28" s="12">
        <f t="shared" si="3"/>
        <v>4.3522466554786268E-2</v>
      </c>
    </row>
    <row r="29" spans="1:17" x14ac:dyDescent="0.2">
      <c r="A29" s="14">
        <v>26</v>
      </c>
      <c r="B29" s="10">
        <v>2185</v>
      </c>
      <c r="C29" s="12">
        <f t="shared" si="0"/>
        <v>3.8962380907980258E-2</v>
      </c>
      <c r="D29" s="11">
        <f t="shared" si="1"/>
        <v>8.0699999999999994E-2</v>
      </c>
      <c r="E29" s="11">
        <f t="shared" si="2"/>
        <v>0.52419944735295687</v>
      </c>
      <c r="F29" s="12">
        <f t="shared" si="3"/>
        <v>4.3433237616601547E-2</v>
      </c>
    </row>
    <row r="30" spans="1:17" ht="19" x14ac:dyDescent="0.25">
      <c r="B30" s="7"/>
    </row>
    <row r="32" spans="1:17" x14ac:dyDescent="0.2">
      <c r="C32" s="3"/>
    </row>
    <row r="33" spans="3:4" x14ac:dyDescent="0.2">
      <c r="C33" s="3"/>
      <c r="D33" s="9"/>
    </row>
    <row r="34" spans="3:4" x14ac:dyDescent="0.2">
      <c r="C34" s="3"/>
      <c r="D34" s="9"/>
    </row>
    <row r="35" spans="3:4" x14ac:dyDescent="0.2">
      <c r="C35" s="3"/>
      <c r="D35" s="9"/>
    </row>
    <row r="36" spans="3:4" x14ac:dyDescent="0.2">
      <c r="C36" s="3"/>
      <c r="D36" s="9"/>
    </row>
    <row r="37" spans="3:4" x14ac:dyDescent="0.2">
      <c r="C37" s="3"/>
      <c r="D37" s="9"/>
    </row>
    <row r="38" spans="3:4" x14ac:dyDescent="0.2">
      <c r="C38" s="3"/>
      <c r="D38" s="9"/>
    </row>
    <row r="39" spans="3:4" x14ac:dyDescent="0.2">
      <c r="C39" s="3"/>
      <c r="D39" s="9"/>
    </row>
    <row r="40" spans="3:4" x14ac:dyDescent="0.2">
      <c r="C40" s="3"/>
      <c r="D40" s="9"/>
    </row>
    <row r="41" spans="3:4" x14ac:dyDescent="0.2">
      <c r="C41" s="3"/>
      <c r="D41" s="9"/>
    </row>
    <row r="42" spans="3:4" x14ac:dyDescent="0.2">
      <c r="C42" s="3"/>
      <c r="D42" s="9"/>
    </row>
    <row r="43" spans="3:4" x14ac:dyDescent="0.2">
      <c r="C43" s="3"/>
      <c r="D43" s="9"/>
    </row>
    <row r="44" spans="3:4" x14ac:dyDescent="0.2">
      <c r="C44" s="3"/>
      <c r="D44" s="9"/>
    </row>
    <row r="45" spans="3:4" x14ac:dyDescent="0.2">
      <c r="C45" s="3"/>
      <c r="D45" s="9"/>
    </row>
    <row r="46" spans="3:4" x14ac:dyDescent="0.2">
      <c r="C46" s="3"/>
      <c r="D46" s="9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EEE6-E3CD-BD4C-972B-E51B348854AF}">
  <dimension ref="A2:K29"/>
  <sheetViews>
    <sheetView tabSelected="1" workbookViewId="0">
      <selection activeCell="M7" sqref="M7"/>
    </sheetView>
  </sheetViews>
  <sheetFormatPr baseColWidth="10" defaultRowHeight="15" x14ac:dyDescent="0.2"/>
  <sheetData>
    <row r="2" spans="1:11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</row>
    <row r="3" spans="1:11" ht="48" x14ac:dyDescent="0.2">
      <c r="B3" s="6" t="s">
        <v>3</v>
      </c>
      <c r="C3" s="6" t="s">
        <v>12</v>
      </c>
      <c r="D3" s="6" t="s">
        <v>13</v>
      </c>
      <c r="E3" s="6" t="s">
        <v>14</v>
      </c>
      <c r="F3" s="6" t="s">
        <v>11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4</v>
      </c>
    </row>
    <row r="4" spans="1:11" x14ac:dyDescent="0.2">
      <c r="A4">
        <v>1</v>
      </c>
      <c r="B4" s="4">
        <f>Sheet1!E4</f>
        <v>2.4138414842191764E-3</v>
      </c>
      <c r="C4" s="4">
        <f>$B4+(C$2-$B$2)/($K$2-$B$2)*($K4-$B4)</f>
        <v>5.6038686120125098E-3</v>
      </c>
      <c r="D4" s="4">
        <f t="shared" ref="D4:J19" si="0">$B4+(D$2-$B$2)/($K$2-$B$2)*($K4-$B4)</f>
        <v>8.7938957398058428E-3</v>
      </c>
      <c r="E4" s="4">
        <f t="shared" si="0"/>
        <v>1.1983922867599178E-2</v>
      </c>
      <c r="F4" s="4">
        <f t="shared" si="0"/>
        <v>1.5173949995392511E-2</v>
      </c>
      <c r="G4" s="4">
        <f t="shared" si="0"/>
        <v>1.8363977123185844E-2</v>
      </c>
      <c r="H4" s="4">
        <f t="shared" si="0"/>
        <v>2.1554004250979177E-2</v>
      </c>
      <c r="I4" s="4">
        <f t="shared" si="0"/>
        <v>2.4744031378772513E-2</v>
      </c>
      <c r="J4" s="4">
        <f t="shared" si="0"/>
        <v>2.7934058506565843E-2</v>
      </c>
      <c r="K4" s="4">
        <f>Sheet1!F4</f>
        <v>3.1124085634359179E-2</v>
      </c>
    </row>
    <row r="5" spans="1:11" x14ac:dyDescent="0.2">
      <c r="A5">
        <v>2</v>
      </c>
      <c r="B5" s="4">
        <f>Sheet1!E5</f>
        <v>2.3921361189803221E-3</v>
      </c>
      <c r="C5" s="4">
        <f t="shared" ref="C5:J29" si="1">$B5+(C$2-$B$2)/($K$2-$B$2)*($K5-$B5)</f>
        <v>4.4333439513358774E-3</v>
      </c>
      <c r="D5" s="4">
        <f t="shared" si="0"/>
        <v>6.4745517836914332E-3</v>
      </c>
      <c r="E5" s="4">
        <f t="shared" si="0"/>
        <v>8.5157596160469872E-3</v>
      </c>
      <c r="F5" s="4">
        <f t="shared" si="0"/>
        <v>1.0556967448402543E-2</v>
      </c>
      <c r="G5" s="4">
        <f t="shared" si="0"/>
        <v>1.2598175280758099E-2</v>
      </c>
      <c r="H5" s="4">
        <f t="shared" si="0"/>
        <v>1.4639383113113653E-2</v>
      </c>
      <c r="I5" s="4">
        <f t="shared" si="0"/>
        <v>1.6680590945469212E-2</v>
      </c>
      <c r="J5" s="4">
        <f t="shared" si="0"/>
        <v>1.8721798777824764E-2</v>
      </c>
      <c r="K5" s="4">
        <f>Sheet1!F5</f>
        <v>2.076300661018032E-2</v>
      </c>
    </row>
    <row r="6" spans="1:11" x14ac:dyDescent="0.2">
      <c r="A6">
        <v>3</v>
      </c>
      <c r="B6" s="4">
        <f>Sheet1!E6</f>
        <v>1.9298700931000016E-3</v>
      </c>
      <c r="C6" s="4">
        <f t="shared" si="1"/>
        <v>4.7433475952366692E-3</v>
      </c>
      <c r="D6" s="4">
        <f t="shared" si="0"/>
        <v>7.5568250973733365E-3</v>
      </c>
      <c r="E6" s="4">
        <f t="shared" si="0"/>
        <v>1.0370302599510004E-2</v>
      </c>
      <c r="F6" s="4">
        <f t="shared" si="0"/>
        <v>1.3183780101646671E-2</v>
      </c>
      <c r="G6" s="4">
        <f t="shared" si="0"/>
        <v>1.5997257603783337E-2</v>
      </c>
      <c r="H6" s="4">
        <f t="shared" si="0"/>
        <v>1.8810735105920004E-2</v>
      </c>
      <c r="I6" s="4">
        <f t="shared" si="0"/>
        <v>2.1624212608056671E-2</v>
      </c>
      <c r="J6" s="4">
        <f t="shared" si="0"/>
        <v>2.4437690110193339E-2</v>
      </c>
      <c r="K6" s="4">
        <f>Sheet1!F6</f>
        <v>2.7251167612330006E-2</v>
      </c>
    </row>
    <row r="7" spans="1:11" x14ac:dyDescent="0.2">
      <c r="A7">
        <v>4</v>
      </c>
      <c r="B7" s="4">
        <f>Sheet1!E7</f>
        <v>1.7443105410536984E-3</v>
      </c>
      <c r="C7" s="4">
        <f t="shared" si="1"/>
        <v>4.7425060000714763E-3</v>
      </c>
      <c r="D7" s="4">
        <f t="shared" si="0"/>
        <v>7.7407014590892536E-3</v>
      </c>
      <c r="E7" s="4">
        <f t="shared" si="0"/>
        <v>1.0738896918107031E-2</v>
      </c>
      <c r="F7" s="4">
        <f t="shared" si="0"/>
        <v>1.373709237712481E-2</v>
      </c>
      <c r="G7" s="4">
        <f t="shared" si="0"/>
        <v>1.6735287836142587E-2</v>
      </c>
      <c r="H7" s="4">
        <f t="shared" si="0"/>
        <v>1.9733483295160361E-2</v>
      </c>
      <c r="I7" s="4">
        <f t="shared" si="0"/>
        <v>2.2731678754178142E-2</v>
      </c>
      <c r="J7" s="4">
        <f t="shared" si="0"/>
        <v>2.5729874213195919E-2</v>
      </c>
      <c r="K7" s="4">
        <f>Sheet1!F7</f>
        <v>2.8728069672213696E-2</v>
      </c>
    </row>
    <row r="8" spans="1:11" x14ac:dyDescent="0.2">
      <c r="A8">
        <v>5</v>
      </c>
      <c r="B8" s="4">
        <f>Sheet1!E8</f>
        <v>4.0306069286487655E-3</v>
      </c>
      <c r="C8" s="4">
        <f t="shared" si="1"/>
        <v>6.2847690658220986E-3</v>
      </c>
      <c r="D8" s="4">
        <f t="shared" si="0"/>
        <v>8.5389312029954326E-3</v>
      </c>
      <c r="E8" s="4">
        <f t="shared" si="0"/>
        <v>1.0793093340168765E-2</v>
      </c>
      <c r="F8" s="4">
        <f t="shared" si="0"/>
        <v>1.3047255477342097E-2</v>
      </c>
      <c r="G8" s="4">
        <f t="shared" si="0"/>
        <v>1.5301417614515433E-2</v>
      </c>
      <c r="H8" s="4">
        <f t="shared" si="0"/>
        <v>1.7555579751688765E-2</v>
      </c>
      <c r="I8" s="4">
        <f t="shared" si="0"/>
        <v>1.9809741888862097E-2</v>
      </c>
      <c r="J8" s="4">
        <f t="shared" si="0"/>
        <v>2.206390402603543E-2</v>
      </c>
      <c r="K8" s="4">
        <f>Sheet1!F8</f>
        <v>2.4318066163208765E-2</v>
      </c>
    </row>
    <row r="9" spans="1:11" x14ac:dyDescent="0.2">
      <c r="A9">
        <v>6</v>
      </c>
      <c r="B9" s="4">
        <f>Sheet1!E9</f>
        <v>7.1996646525272169E-3</v>
      </c>
      <c r="C9" s="4">
        <f t="shared" si="1"/>
        <v>8.7240846746872158E-3</v>
      </c>
      <c r="D9" s="4">
        <f t="shared" si="0"/>
        <v>1.0248504696847217E-2</v>
      </c>
      <c r="E9" s="4">
        <f t="shared" si="0"/>
        <v>1.1772924719007215E-2</v>
      </c>
      <c r="F9" s="4">
        <f t="shared" si="0"/>
        <v>1.3297344741167217E-2</v>
      </c>
      <c r="G9" s="4">
        <f t="shared" si="0"/>
        <v>1.4821764763327219E-2</v>
      </c>
      <c r="H9" s="4">
        <f t="shared" si="0"/>
        <v>1.6346184785487217E-2</v>
      </c>
      <c r="I9" s="4">
        <f t="shared" si="0"/>
        <v>1.7870604807647218E-2</v>
      </c>
      <c r="J9" s="4">
        <f t="shared" si="0"/>
        <v>1.9395024829807216E-2</v>
      </c>
      <c r="K9" s="4">
        <f>Sheet1!F9</f>
        <v>2.0919444851967218E-2</v>
      </c>
    </row>
    <row r="10" spans="1:11" x14ac:dyDescent="0.2">
      <c r="A10">
        <v>7</v>
      </c>
      <c r="B10" s="4">
        <f>Sheet1!E10</f>
        <v>1.4152419484316047E-2</v>
      </c>
      <c r="C10" s="4">
        <f t="shared" si="1"/>
        <v>1.5585029955297158E-2</v>
      </c>
      <c r="D10" s="4">
        <f t="shared" si="0"/>
        <v>1.701764042627827E-2</v>
      </c>
      <c r="E10" s="4">
        <f t="shared" si="0"/>
        <v>1.8450250897259379E-2</v>
      </c>
      <c r="F10" s="4">
        <f t="shared" si="0"/>
        <v>1.9882861368240488E-2</v>
      </c>
      <c r="G10" s="4">
        <f t="shared" si="0"/>
        <v>2.1315471839221601E-2</v>
      </c>
      <c r="H10" s="4">
        <f t="shared" si="0"/>
        <v>2.2748082310202714E-2</v>
      </c>
      <c r="I10" s="4">
        <f t="shared" si="0"/>
        <v>2.4180692781183823E-2</v>
      </c>
      <c r="J10" s="4">
        <f t="shared" si="0"/>
        <v>2.5613303252164932E-2</v>
      </c>
      <c r="K10" s="4">
        <f>Sheet1!F10</f>
        <v>2.7045913723146044E-2</v>
      </c>
    </row>
    <row r="11" spans="1:11" x14ac:dyDescent="0.2">
      <c r="A11">
        <v>8</v>
      </c>
      <c r="B11" s="4">
        <f>Sheet1!E11</f>
        <v>2.1799728471742445E-2</v>
      </c>
      <c r="C11" s="4">
        <f t="shared" si="1"/>
        <v>2.2997823249853555E-2</v>
      </c>
      <c r="D11" s="4">
        <f t="shared" si="0"/>
        <v>2.4195918027964666E-2</v>
      </c>
      <c r="E11" s="4">
        <f t="shared" si="0"/>
        <v>2.539401280607578E-2</v>
      </c>
      <c r="F11" s="4">
        <f t="shared" si="0"/>
        <v>2.659210758418689E-2</v>
      </c>
      <c r="G11" s="4">
        <f t="shared" si="0"/>
        <v>2.7790202362298001E-2</v>
      </c>
      <c r="H11" s="4">
        <f t="shared" si="0"/>
        <v>2.8988297140409111E-2</v>
      </c>
      <c r="I11" s="4">
        <f t="shared" si="0"/>
        <v>3.0186391918520225E-2</v>
      </c>
      <c r="J11" s="4">
        <f t="shared" si="0"/>
        <v>3.1384486696631332E-2</v>
      </c>
      <c r="K11" s="4">
        <f>Sheet1!F11</f>
        <v>3.2582581474742446E-2</v>
      </c>
    </row>
    <row r="12" spans="1:11" x14ac:dyDescent="0.2">
      <c r="A12">
        <v>9</v>
      </c>
      <c r="B12" s="4">
        <f>Sheet1!E12</f>
        <v>2.3010827374513744E-2</v>
      </c>
      <c r="C12" s="4">
        <f t="shared" si="1"/>
        <v>2.3120016865073745E-2</v>
      </c>
      <c r="D12" s="4">
        <f t="shared" si="0"/>
        <v>2.3229206355633743E-2</v>
      </c>
      <c r="E12" s="4">
        <f t="shared" si="0"/>
        <v>2.3338395846193745E-2</v>
      </c>
      <c r="F12" s="4">
        <f t="shared" si="0"/>
        <v>2.3447585336753746E-2</v>
      </c>
      <c r="G12" s="4">
        <f t="shared" si="0"/>
        <v>2.3556774827313744E-2</v>
      </c>
      <c r="H12" s="4">
        <f t="shared" si="0"/>
        <v>2.3665964317873746E-2</v>
      </c>
      <c r="I12" s="4">
        <f t="shared" si="0"/>
        <v>2.3775153808433747E-2</v>
      </c>
      <c r="J12" s="4">
        <f t="shared" si="0"/>
        <v>2.3884343298993745E-2</v>
      </c>
      <c r="K12" s="4">
        <f>Sheet1!F12</f>
        <v>2.3993532789553747E-2</v>
      </c>
    </row>
    <row r="13" spans="1:11" x14ac:dyDescent="0.2">
      <c r="A13">
        <v>10</v>
      </c>
      <c r="B13" s="4">
        <f>Sheet1!E13</f>
        <v>4.3032553359683865E-3</v>
      </c>
      <c r="C13" s="4">
        <f t="shared" si="1"/>
        <v>4.8810331137461643E-3</v>
      </c>
      <c r="D13" s="4">
        <f t="shared" si="0"/>
        <v>5.458810891523942E-3</v>
      </c>
      <c r="E13" s="4">
        <f t="shared" si="0"/>
        <v>6.0365886693017198E-3</v>
      </c>
      <c r="F13" s="4">
        <f t="shared" si="0"/>
        <v>6.6143664470794984E-3</v>
      </c>
      <c r="G13" s="4">
        <f t="shared" si="0"/>
        <v>7.1921442248572762E-3</v>
      </c>
      <c r="H13" s="4">
        <f t="shared" si="0"/>
        <v>7.7699220026350539E-3</v>
      </c>
      <c r="I13" s="4">
        <f t="shared" si="0"/>
        <v>8.3476997804128317E-3</v>
      </c>
      <c r="J13" s="4">
        <f t="shared" si="0"/>
        <v>8.9254775581906094E-3</v>
      </c>
      <c r="K13" s="4">
        <f>Sheet1!F13</f>
        <v>9.5032553359683872E-3</v>
      </c>
    </row>
    <row r="14" spans="1:11" x14ac:dyDescent="0.2">
      <c r="A14">
        <v>11</v>
      </c>
      <c r="B14" s="4">
        <f>Sheet1!E14</f>
        <v>1.4531088888888849E-3</v>
      </c>
      <c r="C14" s="4">
        <f t="shared" si="1"/>
        <v>2.9531088888888847E-3</v>
      </c>
      <c r="D14" s="4">
        <f t="shared" si="0"/>
        <v>4.4531088888888843E-3</v>
      </c>
      <c r="E14" s="4">
        <f t="shared" si="0"/>
        <v>5.9531088888888847E-3</v>
      </c>
      <c r="F14" s="4">
        <f t="shared" si="0"/>
        <v>7.4531088888888843E-3</v>
      </c>
      <c r="G14" s="4">
        <f t="shared" si="0"/>
        <v>8.9531088888888857E-3</v>
      </c>
      <c r="H14" s="4">
        <f t="shared" si="0"/>
        <v>1.0453108888888884E-2</v>
      </c>
      <c r="I14" s="4">
        <f t="shared" si="0"/>
        <v>1.1953108888888885E-2</v>
      </c>
      <c r="J14" s="4">
        <f t="shared" si="0"/>
        <v>1.3453108888888883E-2</v>
      </c>
      <c r="K14" s="4">
        <f>Sheet1!F14</f>
        <v>1.4953108888888884E-2</v>
      </c>
    </row>
    <row r="15" spans="1:11" x14ac:dyDescent="0.2">
      <c r="A15">
        <v>12</v>
      </c>
      <c r="B15" s="4">
        <f>Sheet1!E15</f>
        <v>2.9350985151999992E-2</v>
      </c>
      <c r="C15" s="4">
        <f t="shared" si="1"/>
        <v>2.9517651818666658E-2</v>
      </c>
      <c r="D15" s="4">
        <f t="shared" si="0"/>
        <v>2.9684318485333327E-2</v>
      </c>
      <c r="E15" s="4">
        <f t="shared" si="0"/>
        <v>2.9850985151999992E-2</v>
      </c>
      <c r="F15" s="4">
        <f t="shared" si="0"/>
        <v>3.0017651818666658E-2</v>
      </c>
      <c r="G15" s="4">
        <f t="shared" si="0"/>
        <v>3.0184318485333327E-2</v>
      </c>
      <c r="H15" s="4">
        <f t="shared" si="0"/>
        <v>3.0350985151999993E-2</v>
      </c>
      <c r="I15" s="4">
        <f t="shared" si="0"/>
        <v>3.0517651818666659E-2</v>
      </c>
      <c r="J15" s="4">
        <f t="shared" si="0"/>
        <v>3.0684318485333328E-2</v>
      </c>
      <c r="K15" s="4">
        <f>Sheet1!F15</f>
        <v>3.0850985151999993E-2</v>
      </c>
    </row>
    <row r="16" spans="1:11" x14ac:dyDescent="0.2">
      <c r="A16">
        <v>13</v>
      </c>
      <c r="B16" s="4">
        <f>Sheet1!E16</f>
        <v>5.454764832000001E-2</v>
      </c>
      <c r="C16" s="4">
        <f t="shared" si="1"/>
        <v>5.3303203875555566E-2</v>
      </c>
      <c r="D16" s="4">
        <f t="shared" si="0"/>
        <v>5.2058759431111122E-2</v>
      </c>
      <c r="E16" s="4">
        <f t="shared" si="0"/>
        <v>5.0814314986666678E-2</v>
      </c>
      <c r="F16" s="4">
        <f t="shared" si="0"/>
        <v>4.9569870542222234E-2</v>
      </c>
      <c r="G16" s="4">
        <f t="shared" si="0"/>
        <v>4.8325426097777784E-2</v>
      </c>
      <c r="H16" s="4">
        <f t="shared" si="0"/>
        <v>4.708098165333334E-2</v>
      </c>
      <c r="I16" s="4">
        <f t="shared" si="0"/>
        <v>4.5836537208888896E-2</v>
      </c>
      <c r="J16" s="4">
        <f t="shared" si="0"/>
        <v>4.4592092764444452E-2</v>
      </c>
      <c r="K16" s="4">
        <f>Sheet1!F16</f>
        <v>4.3347648320000008E-2</v>
      </c>
    </row>
    <row r="17" spans="1:11" x14ac:dyDescent="0.2">
      <c r="A17">
        <v>14</v>
      </c>
      <c r="B17" s="4">
        <f>Sheet1!E17</f>
        <v>5.2762710948207142E-2</v>
      </c>
      <c r="C17" s="4">
        <f t="shared" si="1"/>
        <v>5.2229377614873805E-2</v>
      </c>
      <c r="D17" s="4">
        <f t="shared" si="0"/>
        <v>5.1696044281540475E-2</v>
      </c>
      <c r="E17" s="4">
        <f t="shared" si="0"/>
        <v>5.1162710948207138E-2</v>
      </c>
      <c r="F17" s="4">
        <f t="shared" si="0"/>
        <v>5.0629377614873808E-2</v>
      </c>
      <c r="G17" s="4">
        <f t="shared" si="0"/>
        <v>5.0096044281540471E-2</v>
      </c>
      <c r="H17" s="4">
        <f t="shared" si="0"/>
        <v>4.9562710948207141E-2</v>
      </c>
      <c r="I17" s="4">
        <f t="shared" si="0"/>
        <v>4.9029377614873804E-2</v>
      </c>
      <c r="J17" s="4">
        <f t="shared" si="0"/>
        <v>4.8496044281540474E-2</v>
      </c>
      <c r="K17" s="4">
        <f>Sheet1!F17</f>
        <v>4.7962710948207136E-2</v>
      </c>
    </row>
    <row r="18" spans="1:11" x14ac:dyDescent="0.2">
      <c r="A18">
        <v>15</v>
      </c>
      <c r="B18" s="4">
        <f>Sheet1!E18</f>
        <v>4.7406368421052766E-2</v>
      </c>
      <c r="C18" s="4">
        <f t="shared" si="1"/>
        <v>4.7806368421052764E-2</v>
      </c>
      <c r="D18" s="4">
        <f t="shared" si="0"/>
        <v>4.8206368421052768E-2</v>
      </c>
      <c r="E18" s="4">
        <f t="shared" si="0"/>
        <v>4.8606368421052766E-2</v>
      </c>
      <c r="F18" s="4">
        <f t="shared" si="0"/>
        <v>4.9006368421052764E-2</v>
      </c>
      <c r="G18" s="4">
        <f t="shared" si="0"/>
        <v>4.9406368421052768E-2</v>
      </c>
      <c r="H18" s="4">
        <f t="shared" si="0"/>
        <v>4.9806368421052766E-2</v>
      </c>
      <c r="I18" s="4">
        <f t="shared" si="0"/>
        <v>5.0206368421052763E-2</v>
      </c>
      <c r="J18" s="4">
        <f t="shared" si="0"/>
        <v>5.0606368421052768E-2</v>
      </c>
      <c r="K18" s="4">
        <f>Sheet1!F18</f>
        <v>5.1006368421052765E-2</v>
      </c>
    </row>
    <row r="19" spans="1:11" x14ac:dyDescent="0.2">
      <c r="A19">
        <v>16</v>
      </c>
      <c r="B19" s="11">
        <f>Sheet1!E19</f>
        <v>4.5699999999999998E-2</v>
      </c>
      <c r="C19" s="12">
        <f t="shared" si="1"/>
        <v>4.480268492733664E-2</v>
      </c>
      <c r="D19" s="12">
        <f t="shared" si="0"/>
        <v>4.3905369854673276E-2</v>
      </c>
      <c r="E19" s="12">
        <f t="shared" si="0"/>
        <v>4.3008054782009919E-2</v>
      </c>
      <c r="F19" s="12">
        <f t="shared" si="0"/>
        <v>4.2110739709346562E-2</v>
      </c>
      <c r="G19" s="12">
        <f t="shared" si="0"/>
        <v>4.1213424636683198E-2</v>
      </c>
      <c r="H19" s="12">
        <f t="shared" si="0"/>
        <v>4.0316109564019841E-2</v>
      </c>
      <c r="I19" s="12">
        <f t="shared" si="0"/>
        <v>3.9418794491356483E-2</v>
      </c>
      <c r="J19" s="12">
        <f t="shared" si="0"/>
        <v>3.8521479418693119E-2</v>
      </c>
      <c r="K19" s="12">
        <f>Sheet1!F19</f>
        <v>3.7624164346029762E-2</v>
      </c>
    </row>
    <row r="20" spans="1:11" x14ac:dyDescent="0.2">
      <c r="A20">
        <v>17</v>
      </c>
      <c r="B20" s="11">
        <f>Sheet1!E20</f>
        <v>6.740857508602302E-2</v>
      </c>
      <c r="C20" s="12">
        <f t="shared" si="1"/>
        <v>6.4602997347293564E-2</v>
      </c>
      <c r="D20" s="12">
        <f t="shared" si="1"/>
        <v>6.1797419608564115E-2</v>
      </c>
      <c r="E20" s="12">
        <f t="shared" si="1"/>
        <v>5.8991841869834666E-2</v>
      </c>
      <c r="F20" s="12">
        <f t="shared" si="1"/>
        <v>5.618626413110521E-2</v>
      </c>
      <c r="G20" s="12">
        <f t="shared" si="1"/>
        <v>5.3380686392375754E-2</v>
      </c>
      <c r="H20" s="12">
        <f t="shared" si="1"/>
        <v>5.0575108653646304E-2</v>
      </c>
      <c r="I20" s="12">
        <f t="shared" si="1"/>
        <v>4.7769530914916848E-2</v>
      </c>
      <c r="J20" s="12">
        <f t="shared" si="1"/>
        <v>4.4963953176187399E-2</v>
      </c>
      <c r="K20" s="12">
        <f>Sheet1!F20</f>
        <v>4.2158375437457943E-2</v>
      </c>
    </row>
    <row r="21" spans="1:11" x14ac:dyDescent="0.2">
      <c r="A21">
        <v>18</v>
      </c>
      <c r="B21" s="11">
        <f>Sheet1!E21</f>
        <v>8.4662455305000939E-2</v>
      </c>
      <c r="C21" s="12">
        <f t="shared" si="1"/>
        <v>8.019105510383967E-2</v>
      </c>
      <c r="D21" s="12">
        <f t="shared" si="1"/>
        <v>7.5719654902678402E-2</v>
      </c>
      <c r="E21" s="12">
        <f t="shared" si="1"/>
        <v>7.1248254701517133E-2</v>
      </c>
      <c r="F21" s="12">
        <f t="shared" si="1"/>
        <v>6.6776854500355864E-2</v>
      </c>
      <c r="G21" s="12">
        <f t="shared" si="1"/>
        <v>6.2305454299194596E-2</v>
      </c>
      <c r="H21" s="12">
        <f t="shared" si="1"/>
        <v>5.7834054098033327E-2</v>
      </c>
      <c r="I21" s="12">
        <f t="shared" si="1"/>
        <v>5.3362653896872059E-2</v>
      </c>
      <c r="J21" s="12">
        <f t="shared" si="1"/>
        <v>4.889125369571079E-2</v>
      </c>
      <c r="K21" s="12">
        <f>Sheet1!F21</f>
        <v>4.4419853494549522E-2</v>
      </c>
    </row>
    <row r="22" spans="1:11" x14ac:dyDescent="0.2">
      <c r="A22">
        <v>19</v>
      </c>
      <c r="B22" s="11">
        <f>Sheet1!E22</f>
        <v>0.10633263392860964</v>
      </c>
      <c r="C22" s="12">
        <f t="shared" si="1"/>
        <v>9.9477262884259621E-2</v>
      </c>
      <c r="D22" s="12">
        <f t="shared" si="1"/>
        <v>9.2621891839909598E-2</v>
      </c>
      <c r="E22" s="12">
        <f t="shared" si="1"/>
        <v>8.5766520795559575E-2</v>
      </c>
      <c r="F22" s="12">
        <f t="shared" si="1"/>
        <v>7.8911149751209553E-2</v>
      </c>
      <c r="G22" s="12">
        <f t="shared" si="1"/>
        <v>7.205577870685953E-2</v>
      </c>
      <c r="H22" s="12">
        <f t="shared" si="1"/>
        <v>6.5200407662509507E-2</v>
      </c>
      <c r="I22" s="12">
        <f t="shared" si="1"/>
        <v>5.8345036618159471E-2</v>
      </c>
      <c r="J22" s="12">
        <f t="shared" si="1"/>
        <v>5.1489665573809455E-2</v>
      </c>
      <c r="K22" s="12">
        <f>Sheet1!F22</f>
        <v>4.4634294529459426E-2</v>
      </c>
    </row>
    <row r="23" spans="1:11" x14ac:dyDescent="0.2">
      <c r="A23">
        <v>20</v>
      </c>
      <c r="B23" s="11">
        <f>Sheet1!E23</f>
        <v>0.13354950547397879</v>
      </c>
      <c r="C23" s="12">
        <f t="shared" si="1"/>
        <v>0.12359607278194891</v>
      </c>
      <c r="D23" s="12">
        <f t="shared" si="1"/>
        <v>0.11364264008991903</v>
      </c>
      <c r="E23" s="12">
        <f t="shared" si="1"/>
        <v>0.10368920739788916</v>
      </c>
      <c r="F23" s="12">
        <f t="shared" si="1"/>
        <v>9.3735774705859282E-2</v>
      </c>
      <c r="G23" s="12">
        <f t="shared" si="1"/>
        <v>8.3782342013829392E-2</v>
      </c>
      <c r="H23" s="12">
        <f t="shared" si="1"/>
        <v>7.382890932179953E-2</v>
      </c>
      <c r="I23" s="12">
        <f t="shared" si="1"/>
        <v>6.387547662976964E-2</v>
      </c>
      <c r="J23" s="12">
        <f t="shared" si="1"/>
        <v>5.3922043937739764E-2</v>
      </c>
      <c r="K23" s="12">
        <f>Sheet1!F23</f>
        <v>4.3968611245709888E-2</v>
      </c>
    </row>
    <row r="24" spans="1:11" x14ac:dyDescent="0.2">
      <c r="A24">
        <v>21</v>
      </c>
      <c r="B24" s="11">
        <f>Sheet1!E24</f>
        <v>0.16773279992592671</v>
      </c>
      <c r="C24" s="12">
        <f t="shared" si="1"/>
        <v>0.15382482880200612</v>
      </c>
      <c r="D24" s="12">
        <f t="shared" si="1"/>
        <v>0.13991685767808551</v>
      </c>
      <c r="E24" s="12">
        <f t="shared" si="1"/>
        <v>0.12600888655416492</v>
      </c>
      <c r="F24" s="12">
        <f t="shared" si="1"/>
        <v>0.11210091543024431</v>
      </c>
      <c r="G24" s="12">
        <f t="shared" si="1"/>
        <v>9.8192944306323707E-2</v>
      </c>
      <c r="H24" s="12">
        <f t="shared" si="1"/>
        <v>8.428497318240312E-2</v>
      </c>
      <c r="I24" s="12">
        <f t="shared" si="1"/>
        <v>7.0377002058482518E-2</v>
      </c>
      <c r="J24" s="12">
        <f t="shared" si="1"/>
        <v>5.6469030934561917E-2</v>
      </c>
      <c r="K24" s="12">
        <f>Sheet1!F24</f>
        <v>4.2561059810641309E-2</v>
      </c>
    </row>
    <row r="25" spans="1:11" x14ac:dyDescent="0.2">
      <c r="A25">
        <v>22</v>
      </c>
      <c r="B25" s="11">
        <f>Sheet1!E25</f>
        <v>0.2106656409631763</v>
      </c>
      <c r="C25" s="12">
        <f t="shared" si="1"/>
        <v>0.19209706295655268</v>
      </c>
      <c r="D25" s="12">
        <f t="shared" si="1"/>
        <v>0.17352848494992906</v>
      </c>
      <c r="E25" s="12">
        <f t="shared" si="1"/>
        <v>0.15495990694330541</v>
      </c>
      <c r="F25" s="12">
        <f t="shared" si="1"/>
        <v>0.13639132893668179</v>
      </c>
      <c r="G25" s="12">
        <f t="shared" si="1"/>
        <v>0.11782275093005815</v>
      </c>
      <c r="H25" s="12">
        <f t="shared" si="1"/>
        <v>9.9254172923434525E-2</v>
      </c>
      <c r="I25" s="12">
        <f t="shared" si="1"/>
        <v>8.0685594916810904E-2</v>
      </c>
      <c r="J25" s="12">
        <f t="shared" si="1"/>
        <v>6.2117016910187284E-2</v>
      </c>
      <c r="K25" s="12">
        <f>Sheet1!F25</f>
        <v>4.3548438903563622E-2</v>
      </c>
    </row>
    <row r="26" spans="1:11" x14ac:dyDescent="0.2">
      <c r="A26">
        <v>23</v>
      </c>
      <c r="B26" s="11">
        <f>Sheet1!E26</f>
        <v>0.264587560107652</v>
      </c>
      <c r="C26" s="12">
        <f t="shared" si="1"/>
        <v>0.24005854805088897</v>
      </c>
      <c r="D26" s="12">
        <f t="shared" si="1"/>
        <v>0.21552953599412594</v>
      </c>
      <c r="E26" s="12">
        <f t="shared" si="1"/>
        <v>0.19100052393736291</v>
      </c>
      <c r="F26" s="12">
        <f t="shared" si="1"/>
        <v>0.16647151188059989</v>
      </c>
      <c r="G26" s="12">
        <f t="shared" si="1"/>
        <v>0.14194249982383686</v>
      </c>
      <c r="H26" s="12">
        <f t="shared" si="1"/>
        <v>0.11741348776707383</v>
      </c>
      <c r="I26" s="12">
        <f t="shared" si="1"/>
        <v>9.2884475710310804E-2</v>
      </c>
      <c r="J26" s="12">
        <f t="shared" si="1"/>
        <v>6.8355463653547777E-2</v>
      </c>
      <c r="K26" s="12">
        <f>Sheet1!F26</f>
        <v>4.3826451596784756E-2</v>
      </c>
    </row>
    <row r="27" spans="1:11" x14ac:dyDescent="0.2">
      <c r="A27">
        <v>24</v>
      </c>
      <c r="B27" s="11">
        <f>Sheet1!E27</f>
        <v>0.33231131874968306</v>
      </c>
      <c r="C27" s="12">
        <f t="shared" si="1"/>
        <v>0.30024425791274401</v>
      </c>
      <c r="D27" s="12">
        <f t="shared" si="1"/>
        <v>0.26817719707580501</v>
      </c>
      <c r="E27" s="12">
        <f t="shared" si="1"/>
        <v>0.23611013623886598</v>
      </c>
      <c r="F27" s="12">
        <f t="shared" si="1"/>
        <v>0.20404307540192695</v>
      </c>
      <c r="G27" s="12">
        <f t="shared" si="1"/>
        <v>0.1719760145649879</v>
      </c>
      <c r="H27" s="12">
        <f t="shared" si="1"/>
        <v>0.1399089537280489</v>
      </c>
      <c r="I27" s="12">
        <f t="shared" si="1"/>
        <v>0.10784189289110985</v>
      </c>
      <c r="J27" s="12">
        <f t="shared" si="1"/>
        <v>7.5774832054170849E-2</v>
      </c>
      <c r="K27" s="12">
        <f>Sheet1!F27</f>
        <v>4.3707771217231801E-2</v>
      </c>
    </row>
    <row r="28" spans="1:11" x14ac:dyDescent="0.2">
      <c r="A28">
        <v>25</v>
      </c>
      <c r="B28" s="11">
        <f>Sheet1!E28</f>
        <v>0.41736963190643872</v>
      </c>
      <c r="C28" s="12">
        <f t="shared" si="1"/>
        <v>0.37583105797847732</v>
      </c>
      <c r="D28" s="12">
        <f t="shared" si="1"/>
        <v>0.33429248405051593</v>
      </c>
      <c r="E28" s="12">
        <f t="shared" si="1"/>
        <v>0.29275391012255458</v>
      </c>
      <c r="F28" s="12">
        <f t="shared" si="1"/>
        <v>0.25121533619459319</v>
      </c>
      <c r="G28" s="12">
        <f t="shared" si="1"/>
        <v>0.20967676226663179</v>
      </c>
      <c r="H28" s="12">
        <f t="shared" si="1"/>
        <v>0.16813818833867042</v>
      </c>
      <c r="I28" s="12">
        <f t="shared" si="1"/>
        <v>0.12659961441070899</v>
      </c>
      <c r="J28" s="12">
        <f t="shared" si="1"/>
        <v>8.5061040482747652E-2</v>
      </c>
      <c r="K28" s="12">
        <f>Sheet1!F28</f>
        <v>4.3522466554786268E-2</v>
      </c>
    </row>
    <row r="29" spans="1:11" x14ac:dyDescent="0.2">
      <c r="A29">
        <v>26</v>
      </c>
      <c r="B29" s="11">
        <f>Sheet1!E29</f>
        <v>0.52419944735295687</v>
      </c>
      <c r="C29" s="12">
        <f t="shared" si="1"/>
        <v>0.47078097960447296</v>
      </c>
      <c r="D29" s="12">
        <f t="shared" si="1"/>
        <v>0.41736251185598905</v>
      </c>
      <c r="E29" s="12">
        <f t="shared" si="1"/>
        <v>0.36394404410750514</v>
      </c>
      <c r="F29" s="12">
        <f t="shared" si="1"/>
        <v>0.31052557635902123</v>
      </c>
      <c r="G29" s="12">
        <f t="shared" si="1"/>
        <v>0.25710710861053726</v>
      </c>
      <c r="H29" s="12">
        <f t="shared" si="1"/>
        <v>0.20368864086205335</v>
      </c>
      <c r="I29" s="12">
        <f t="shared" si="1"/>
        <v>0.15027017311356938</v>
      </c>
      <c r="J29" s="12">
        <f t="shared" si="1"/>
        <v>9.6851705365085528E-2</v>
      </c>
      <c r="K29" s="12">
        <f>Sheet1!F29</f>
        <v>4.3433237616601547E-2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a415e0-cbd2-494f-bd0b-9ec9526163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3D16CE4023BB4BB4110DFC2802C897" ma:contentTypeVersion="12" ma:contentTypeDescription="Create a new document." ma:contentTypeScope="" ma:versionID="65b3ef4f2db57c8fd06e10d67e29a91c">
  <xsd:schema xmlns:xsd="http://www.w3.org/2001/XMLSchema" xmlns:xs="http://www.w3.org/2001/XMLSchema" xmlns:p="http://schemas.microsoft.com/office/2006/metadata/properties" xmlns:ns2="16a415e0-cbd2-494f-bd0b-9ec9526163e9" targetNamespace="http://schemas.microsoft.com/office/2006/metadata/properties" ma:root="true" ma:fieldsID="368f79d5404671231dfb7196e18a5373" ns2:_="">
    <xsd:import namespace="16a415e0-cbd2-494f-bd0b-9ec9526163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415e0-cbd2-494f-bd0b-9ec952616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267e5f2-3cc9-4b2c-97a9-20aec386c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E76C6D-4CB6-49CD-887A-00EE2372E5AB}">
  <ds:schemaRefs>
    <ds:schemaRef ds:uri="http://schemas.microsoft.com/office/2006/metadata/properties"/>
    <ds:schemaRef ds:uri="http://schemas.microsoft.com/office/infopath/2007/PartnerControls"/>
    <ds:schemaRef ds:uri="16a415e0-cbd2-494f-bd0b-9ec9526163e9"/>
  </ds:schemaRefs>
</ds:datastoreItem>
</file>

<file path=customXml/itemProps2.xml><?xml version="1.0" encoding="utf-8"?>
<ds:datastoreItem xmlns:ds="http://schemas.openxmlformats.org/officeDocument/2006/customXml" ds:itemID="{19394A87-9C0F-4429-B344-1F754C914B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9435BB-84D2-485C-9BB4-65747E4E1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a415e0-cbd2-494f-bd0b-9ec9526163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Arocha</dc:creator>
  <cp:lastModifiedBy>Gemma LS</cp:lastModifiedBy>
  <dcterms:created xsi:type="dcterms:W3CDTF">2025-12-24T09:28:44Z</dcterms:created>
  <dcterms:modified xsi:type="dcterms:W3CDTF">2026-03-11T00:42:26Z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0x010100A13D16CE4023BB4BB4110DFC2802C897</vt:lpwstr>
  </property>
</Properties>
</file>